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1E4F4641-0E7B-41D3-94CF-4F54E6221E4E}" xr6:coauthVersionLast="47" xr6:coauthVersionMax="47" xr10:uidLastSave="{00000000-0000-0000-0000-000000000000}"/>
  <bookViews>
    <workbookView xWindow="-120" yWindow="-120" windowWidth="29040" windowHeight="15720" activeTab="1" xr2:uid="{97E08AA2-A34E-481B-9840-DA517229A9D4}"/>
  </bookViews>
  <sheets>
    <sheet name="Sheet1" sheetId="3" r:id="rId1"/>
    <sheet name="fix_format" sheetId="15" r:id="rId2"/>
    <sheet name="yaml" sheetId="9" r:id="rId3"/>
    <sheet name="breaks" sheetId="12" r:id="rId4"/>
    <sheet name="add2" sheetId="8" r:id="rId5"/>
    <sheet name="single" sheetId="5" r:id="rId6"/>
    <sheet name="Sheet3" sheetId="14" r:id="rId7"/>
  </sheets>
  <functionGroups builtInGroupCount="19"/>
  <definedNames>
    <definedName name="_xlnm._FilterDatabase" localSheetId="0" hidden="1">Sheet1!$A$2:$B$2</definedName>
    <definedName name="_xlnm._FilterDatabase" localSheetId="6" hidden="1">Sheet3!$A$1:$B$26</definedName>
    <definedName name="_xlnm._FilterDatabase" localSheetId="5" hidden="1">single!$A$1:$H$47</definedName>
    <definedName name="_xleta.EXACT" hidden="1" xlm="1">#NAME?</definedName>
    <definedName name="_xleta.SUM" hidden="1" xlm="1">#NAME?</definedName>
    <definedName name="figure1_caption" localSheetId="1">fix_format!$A$18</definedName>
    <definedName name="figure10_caption" localSheetId="1">fix_format!$A$27</definedName>
    <definedName name="figure11_caption" localSheetId="1">fix_format!$A$28</definedName>
    <definedName name="figure12_caption" localSheetId="1">fix_format!$A$29</definedName>
    <definedName name="figure13_caption" localSheetId="1">fix_format!$A$30</definedName>
    <definedName name="figure14_caption" localSheetId="1">fix_format!$A$31</definedName>
    <definedName name="figure15_caption" localSheetId="1">fix_format!$A$32</definedName>
    <definedName name="figure16_caption" localSheetId="1">fix_format!$A$33</definedName>
    <definedName name="figure17_caption" localSheetId="1">fix_format!$A$34</definedName>
    <definedName name="figure18_caption" localSheetId="1">fix_format!$A$35</definedName>
    <definedName name="figure19_caption" localSheetId="1">fix_format!$A$36</definedName>
    <definedName name="figure2_caption" localSheetId="1">fix_format!$A$19</definedName>
    <definedName name="figure20_caption" localSheetId="1">fix_format!$A$37</definedName>
    <definedName name="figure3_caption" localSheetId="1">fix_format!$A$20</definedName>
    <definedName name="figure4_caption" localSheetId="1">fix_format!$A$21</definedName>
    <definedName name="figure5_caption" localSheetId="1">fix_format!$A$22</definedName>
    <definedName name="figure6_caption" localSheetId="1">fix_format!$A$23</definedName>
    <definedName name="figure7_caption" localSheetId="1">fix_format!$A$24</definedName>
    <definedName name="figure8_caption" localSheetId="1">fix_format!$A$25</definedName>
    <definedName name="figure9_caption" localSheetId="1">fix_format!$A$26</definedName>
    <definedName name="file_from" localSheetId="0">Sheet1!#REF!</definedName>
    <definedName name="md_analytical" localSheetId="0">Sheet1!#REF!</definedName>
    <definedName name="md_def_mods" localSheetId="0">Sheet1!#REF!</definedName>
    <definedName name="md_endall" localSheetId="0">Sheet1!#REF!</definedName>
    <definedName name="md_indepth" localSheetId="0">Sheet1!#REF!</definedName>
    <definedName name="md_info" localSheetId="0">Sheet1!#REF!</definedName>
    <definedName name="md_jupytext" localSheetId="0">Sheet1!#REF!</definedName>
    <definedName name="md_overview" localSheetId="0">Sheet1!#REF!</definedName>
    <definedName name="md_refs" localSheetId="0">Sheet1!#REF!</definedName>
    <definedName name="md_shiny_1" localSheetId="0">Sheet1!#REF!</definedName>
    <definedName name="md_shiny_2" localSheetId="0">Sheet1!#REF!</definedName>
    <definedName name="md_shiny_none" localSheetId="0">Sheet1!#REF!</definedName>
    <definedName name="md_tabend" localSheetId="0">Sheet1!#REF!</definedName>
    <definedName name="md_tabset" localSheetId="0">Sheet1!#REF!</definedName>
    <definedName name="md_title_info" localSheetId="0">Sheet1!#REF!</definedName>
    <definedName name="md_vis_1grid" localSheetId="0">Sheet1!#REF!</definedName>
    <definedName name="md_vis_2grid" localSheetId="0">Sheet1!#REF!</definedName>
    <definedName name="md_vis_3grid" localSheetId="0">Sheet1!#REF!</definedName>
    <definedName name="md_vis_4grid" localSheetId="0">Sheet1!#REF!</definedName>
    <definedName name="md_vis_5grid_vid" localSheetId="0">Sheet1!#REF!</definedName>
    <definedName name="md_vis_6grid_vid" localSheetId="0">Sheet1!#REF!</definedName>
    <definedName name="md_vis_7grid_vid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" l="1"/>
  <c r="D1" i="12"/>
  <c r="D1" i="9"/>
  <c r="D1" i="3" l="1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H6" i="5"/>
  <c r="H10" i="5"/>
  <c r="H12" i="5"/>
  <c r="H14" i="5"/>
  <c r="H16" i="5"/>
  <c r="H20" i="5"/>
  <c r="H24" i="5"/>
  <c r="H8" i="5"/>
  <c r="H22" i="5"/>
  <c r="H26" i="5"/>
  <c r="H30" i="5"/>
  <c r="H32" i="5"/>
  <c r="H35" i="5"/>
  <c r="H38" i="5"/>
  <c r="H40" i="5"/>
  <c r="H42" i="5"/>
  <c r="H18" i="5"/>
  <c r="H44" i="5"/>
  <c r="H46" i="5"/>
  <c r="H2" i="5"/>
  <c r="H5" i="5"/>
  <c r="H7" i="5"/>
  <c r="H11" i="5"/>
  <c r="H13" i="5"/>
  <c r="H15" i="5"/>
  <c r="H17" i="5"/>
  <c r="H21" i="5"/>
  <c r="H25" i="5"/>
  <c r="H3" i="5"/>
  <c r="H9" i="5"/>
  <c r="H23" i="5"/>
  <c r="H29" i="5"/>
  <c r="H27" i="5"/>
  <c r="H31" i="5"/>
  <c r="H33" i="5"/>
  <c r="H34" i="5"/>
  <c r="H36" i="5"/>
  <c r="H37" i="5"/>
  <c r="H39" i="5"/>
  <c r="H4" i="5"/>
  <c r="H41" i="5"/>
  <c r="H43" i="5"/>
  <c r="H19" i="5"/>
  <c r="H45" i="5"/>
  <c r="H47" i="5"/>
  <c r="H28" i="5"/>
  <c r="J2" i="5"/>
  <c r="G28" i="5"/>
  <c r="G6" i="5" l="1"/>
  <c r="G10" i="5"/>
  <c r="G12" i="5"/>
  <c r="G14" i="5"/>
  <c r="I6" i="5" s="1"/>
  <c r="G16" i="5"/>
  <c r="G20" i="5"/>
  <c r="G24" i="5"/>
  <c r="G8" i="5"/>
  <c r="I10" i="5" s="1"/>
  <c r="G22" i="5"/>
  <c r="G26" i="5"/>
  <c r="I12" i="5" s="1"/>
  <c r="G30" i="5"/>
  <c r="G32" i="5"/>
  <c r="G35" i="5"/>
  <c r="G38" i="5"/>
  <c r="G40" i="5"/>
  <c r="G42" i="5"/>
  <c r="G18" i="5"/>
  <c r="G44" i="5"/>
  <c r="I20" i="5" s="1"/>
  <c r="G46" i="5"/>
  <c r="I21" i="5" s="1"/>
  <c r="G2" i="5"/>
  <c r="I2" i="5" s="1"/>
  <c r="G5" i="5"/>
  <c r="G7" i="5"/>
  <c r="G11" i="5"/>
  <c r="G13" i="5"/>
  <c r="G15" i="5"/>
  <c r="G17" i="5"/>
  <c r="G21" i="5"/>
  <c r="G25" i="5"/>
  <c r="G3" i="5"/>
  <c r="G9" i="5"/>
  <c r="G23" i="5"/>
  <c r="G29" i="5"/>
  <c r="G27" i="5"/>
  <c r="G31" i="5"/>
  <c r="G33" i="5"/>
  <c r="G34" i="5"/>
  <c r="G36" i="5"/>
  <c r="G37" i="5"/>
  <c r="G39" i="5"/>
  <c r="G4" i="5"/>
  <c r="G41" i="5"/>
  <c r="G43" i="5"/>
  <c r="G19" i="5"/>
  <c r="G45" i="5"/>
  <c r="G47" i="5"/>
  <c r="F28" i="5"/>
  <c r="F2" i="5"/>
  <c r="F5" i="5"/>
  <c r="F7" i="5"/>
  <c r="F6" i="5"/>
  <c r="F10" i="5"/>
  <c r="F11" i="5"/>
  <c r="F13" i="5"/>
  <c r="F12" i="5"/>
  <c r="F15" i="5"/>
  <c r="F14" i="5"/>
  <c r="F17" i="5"/>
  <c r="F16" i="5"/>
  <c r="F21" i="5"/>
  <c r="F20" i="5"/>
  <c r="F25" i="5"/>
  <c r="F24" i="5"/>
  <c r="F3" i="5"/>
  <c r="F9" i="5"/>
  <c r="F8" i="5"/>
  <c r="F23" i="5"/>
  <c r="F22" i="5"/>
  <c r="F29" i="5"/>
  <c r="F27" i="5"/>
  <c r="F26" i="5"/>
  <c r="F31" i="5"/>
  <c r="F30" i="5"/>
  <c r="F33" i="5"/>
  <c r="F32" i="5"/>
  <c r="F34" i="5"/>
  <c r="F36" i="5"/>
  <c r="F35" i="5"/>
  <c r="F37" i="5"/>
  <c r="F39" i="5"/>
  <c r="F38" i="5"/>
  <c r="F4" i="5"/>
  <c r="F41" i="5"/>
  <c r="F40" i="5"/>
  <c r="F43" i="5"/>
  <c r="F42" i="5"/>
  <c r="F19" i="5"/>
  <c r="F18" i="5"/>
  <c r="F45" i="5"/>
  <c r="F44" i="5"/>
  <c r="F47" i="5"/>
  <c r="F46" i="5"/>
  <c r="I17" i="5" l="1"/>
  <c r="I14" i="5"/>
  <c r="I13" i="5"/>
  <c r="I11" i="5"/>
  <c r="I9" i="5"/>
  <c r="I8" i="5"/>
  <c r="I19" i="5"/>
  <c r="I7" i="5"/>
  <c r="I5" i="5"/>
  <c r="I16" i="5"/>
  <c r="I4" i="5"/>
  <c r="I18" i="5"/>
  <c r="I15" i="5"/>
  <c r="I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<sst xmlns="http://schemas.openxmlformats.org/spreadsheetml/2006/main" count="2111" uniqueCount="1453">
  <si>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</si>
  <si>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</si>
  <si>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</si>
  <si>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</si>
  <si>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</si>
  <si>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</si>
  <si>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</si>
  <si>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</si>
  <si>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</si>
  <si>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</si>
  <si>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</si>
  <si>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</si>
  <si>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</si>
  <si>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</si>
  <si>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</si>
  <si>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</si>
  <si>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</si>
  <si>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</si>
  <si>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</si>
  <si>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</si>
  <si>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</si>
  <si>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</si>
  <si>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</si>
  <si>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</si>
  <si>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</si>
  <si>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</si>
  <si>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</si>
  <si>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</si>
  <si>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</si>
  <si>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</si>
  <si>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</si>
  <si>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</si>
  <si>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</si>
  <si>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</si>
  <si>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</si>
  <si>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</si>
  <si>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</si>
  <si>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</si>
  <si>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</si>
  <si>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</si>
  <si>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</si>
  <si>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</si>
  <si>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</si>
  <si>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</si>
  <si>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</si>
  <si>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</si>
  <si>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</si>
  <si>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</si>
  <si>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</si>
  <si>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</si>
  <si>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</si>
  <si>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</si>
  <si>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</si>
  <si>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</si>
  <si>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</si>
  <si>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</si>
  <si>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</si>
  <si>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</si>
  <si>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</si>
  <si>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</si>
  <si>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</si>
  <si>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</si>
  <si>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</si>
  <si>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</si>
  <si>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</si>
  <si>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</si>
  <si>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</si>
  <si>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</si>
  <si>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</si>
  <si>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</si>
  <si>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</si>
  <si>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</si>
  <si>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</si>
  <si>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</si>
  <si>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</si>
  <si>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</si>
  <si>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</si>
  <si>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</si>
  <si>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</si>
  <si>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</si>
  <si>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</si>
  <si>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</si>
  <si>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</si>
  <si>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</si>
  <si>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</si>
  <si>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</si>
  <si>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</si>
  <si>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</si>
  <si>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</si>
  <si>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</si>
  <si>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</si>
  <si>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</si>
  <si>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</si>
  <si>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</si>
  <si>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</si>
  <si>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</si>
  <si>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</si>
  <si>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</si>
  <si>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</si>
  <si>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</si>
  <si>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</si>
  <si>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</si>
  <si>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</si>
  <si>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</si>
  <si>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</si>
  <si>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</si>
  <si>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</si>
  <si>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</si>
  <si>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</si>
  <si>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</si>
  <si>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</si>
  <si>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</si>
  <si>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</si>
  <si>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</si>
  <si>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</si>
  <si>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</si>
  <si>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</si>
  <si>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</si>
  <si>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</si>
  <si>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</si>
  <si>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</si>
  <si>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</si>
  <si>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</si>
  <si>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</si>
  <si>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</si>
  <si>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</si>
  <si>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</si>
  <si>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</si>
  <si>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</si>
  <si>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</si>
  <si>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</si>
  <si>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</si>
  <si>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</si>
  <si>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</si>
  <si>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</si>
  <si>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</si>
  <si>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</si>
  <si>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</si>
  <si>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</si>
  <si>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</si>
  <si>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</si>
  <si>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</si>
  <si>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</si>
  <si>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</si>
  <si>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</si>
  <si>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</si>
  <si>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</si>
  <si>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</si>
  <si>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</si>
  <si>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</si>
  <si>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</si>
  <si>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</si>
  <si>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</si>
  <si>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</si>
  <si>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</si>
  <si>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</si>
  <si>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</si>
  <si>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</si>
  <si>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</si>
  <si>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</si>
  <si>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</si>
  <si>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</si>
  <si>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</si>
  <si>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</si>
  <si>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</si>
  <si>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</si>
  <si>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</si>
  <si>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</si>
  <si>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</si>
  <si>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</si>
  <si>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</si>
  <si>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</si>
  <si>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</si>
  <si>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</si>
  <si>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</si>
  <si>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</si>
  <si>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</si>
  <si>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</si>
  <si>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</si>
  <si>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</si>
  <si>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</si>
  <si>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</si>
  <si>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</si>
  <si>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</si>
  <si>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</si>
  <si>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</si>
  <si>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</si>
  <si>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</si>
  <si>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</si>
  <si>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</si>
  <si>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</si>
  <si>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</si>
  <si>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</si>
  <si>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</si>
  <si>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</si>
  <si>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</si>
  <si>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</si>
  <si>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</si>
  <si>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</si>
  <si>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</si>
  <si>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</si>
  <si>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</si>
  <si>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</si>
  <si>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</si>
  <si>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</si>
  <si>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</si>
  <si>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</si>
  <si>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</si>
  <si>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</si>
  <si>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</si>
  <si>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</si>
  <si>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</si>
  <si>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</si>
  <si>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</si>
  <si>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</si>
  <si>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</si>
  <si>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</si>
  <si>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</si>
  <si>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</si>
  <si>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</si>
  <si>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</si>
  <si>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</si>
  <si>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</si>
  <si>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</si>
  <si>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</si>
  <si>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</si>
  <si>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</si>
  <si>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</si>
  <si>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</si>
  <si>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</si>
  <si>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</si>
  <si>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</si>
  <si>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</si>
  <si>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</si>
  <si>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</si>
  <si>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</si>
  <si>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</si>
  <si>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</si>
  <si>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</si>
  <si>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</si>
  <si>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</si>
  <si>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</si>
  <si>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</si>
  <si>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</si>
  <si>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</si>
  <si>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</si>
  <si>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</si>
  <si>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</si>
  <si>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</si>
  <si>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</si>
  <si>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</si>
  <si>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</si>
  <si>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</si>
  <si>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</si>
  <si>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</si>
  <si>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</si>
  <si>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</si>
  <si>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</si>
  <si>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</si>
  <si>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</si>
  <si>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</si>
  <si>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</si>
  <si>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</si>
  <si>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</si>
  <si>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</si>
  <si>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</si>
  <si>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</si>
  <si>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</si>
  <si>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</si>
  <si>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</si>
  <si>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</si>
  <si>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</si>
  <si>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</si>
  <si>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</si>
  <si>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</si>
  <si>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</si>
  <si>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</si>
  <si>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</si>
  <si>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</si>
  <si>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</si>
  <si>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</si>
  <si>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</si>
  <si>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</si>
  <si>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crew</t>
  </si>
  <si>
    <t>density</t>
  </si>
  <si>
    <t>deployment</t>
  </si>
  <si>
    <t>image</t>
  </si>
  <si>
    <t>metadata</t>
  </si>
  <si>
    <t>occupancy</t>
  </si>
  <si>
    <t>project</t>
  </si>
  <si>
    <t>pseudoreplication</t>
  </si>
  <si>
    <t>sequence</t>
  </si>
  <si>
    <t>strata</t>
  </si>
  <si>
    <t>survey</t>
  </si>
  <si>
    <t>tag</t>
  </si>
  <si>
    <t>visit</t>
  </si>
  <si>
    <t>walktest</t>
  </si>
  <si>
    <t>bait</t>
  </si>
  <si>
    <t>behaviour</t>
  </si>
  <si>
    <t>inventory</t>
  </si>
  <si>
    <t>lure</t>
  </si>
  <si>
    <t>overdispersion</t>
  </si>
  <si>
    <t>viewshed</t>
  </si>
  <si>
    <t>Access Method</t>
  </si>
  <si>
    <t>Behaviour</t>
  </si>
  <si>
    <t>Density</t>
  </si>
  <si>
    <t>Occupancy</t>
  </si>
  <si>
    <t>Inventory</t>
  </si>
  <si>
    <t>Overdispersion</t>
  </si>
  <si>
    <t>Bait</t>
  </si>
  <si>
    <t>Lure</t>
  </si>
  <si>
    <t>Crew</t>
  </si>
  <si>
    <t>Visit</t>
  </si>
  <si>
    <t>Deployment</t>
  </si>
  <si>
    <t>Walktest</t>
  </si>
  <si>
    <t>Security</t>
  </si>
  <si>
    <t>Viewshed</t>
  </si>
  <si>
    <t>Image</t>
  </si>
  <si>
    <t>Analyst</t>
  </si>
  <si>
    <t>Species</t>
  </si>
  <si>
    <t>Tag</t>
  </si>
  <si>
    <t>Adult</t>
  </si>
  <si>
    <t>Juvenile</t>
  </si>
  <si>
    <t>Subadult</t>
  </si>
  <si>
    <t>Project</t>
  </si>
  <si>
    <t>Survey</t>
  </si>
  <si>
    <t>Metadata</t>
  </si>
  <si>
    <t>Pseudoreplication</t>
  </si>
  <si>
    <t>Sequence</t>
  </si>
  <si>
    <t>Strata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</si>
  <si>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</si>
  <si>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</si>
  <si>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</si>
  <si>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</si>
  <si>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</si>
  <si>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</si>
  <si>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</si>
  <si>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</si>
  <si>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</si>
  <si>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age_class_adult</t>
  </si>
  <si>
    <t>analyst</t>
  </si>
  <si>
    <t>baitlure_bait</t>
  </si>
  <si>
    <t>mod_inventory</t>
  </si>
  <si>
    <t>age_class_juvenile</t>
  </si>
  <si>
    <t>baitlure_lure</t>
  </si>
  <si>
    <t>obj_occupancy</t>
  </si>
  <si>
    <t>mod_overdispersion</t>
  </si>
  <si>
    <t>security</t>
  </si>
  <si>
    <t>species</t>
  </si>
  <si>
    <t>age_class_subadult</t>
  </si>
  <si>
    <t>fov_viewshed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</si>
  <si>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</si>
  <si>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</si>
  <si>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</si>
  <si>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</si>
  <si>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</si>
  <si>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</si>
  <si>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</si>
  <si>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</si>
  <si>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</si>
  <si>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</si>
  <si>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</si>
  <si>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</si>
  <si>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</si>
  <si>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</si>
  <si>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</si>
  <si>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</si>
  <si>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</si>
  <si>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</si>
  <si>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</si>
  <si>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</si>
  <si>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</si>
  <si>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</si>
  <si>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</si>
  <si>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</si>
  <si>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</si>
  <si>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</si>
  <si>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</si>
  <si>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</si>
  <si>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</si>
  <si>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</si>
  <si>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</si>
  <si>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</si>
  <si>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</si>
  <si>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</si>
  <si>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</si>
  <si>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</si>
  <si>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</si>
  <si>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</si>
  <si>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</si>
  <si>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</si>
  <si>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</si>
  <si>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</si>
  <si>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</si>
  <si>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</si>
  <si>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</si>
  <si>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</si>
  <si>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</si>
  <si>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</si>
  <si>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</si>
  <si>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</si>
  <si>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</si>
  <si>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</si>
  <si>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</si>
  <si>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</si>
  <si>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</si>
  <si>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</si>
  <si>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</si>
  <si>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</si>
  <si>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</si>
  <si>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</si>
  <si>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</si>
  <si>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</si>
  <si>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</si>
  <si>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</si>
  <si>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</si>
  <si>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</si>
  <si>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</si>
  <si>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</si>
  <si>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</si>
  <si>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field</t>
  </si>
  <si>
    <t>term</t>
  </si>
  <si>
    <t>[detection rates](#detection_rate)</t>
  </si>
  <si>
    <t>[Detection rates](#detection_rate)</t>
  </si>
  <si>
    <t>ddd</t>
  </si>
  <si>
    <t>dd</t>
  </si>
  <si>
    <t>tu</t>
  </si>
  <si>
    <t>tl</t>
  </si>
  <si>
    <t>key</t>
  </si>
  <si>
    <t>key_type</t>
  </si>
  <si>
    <t>field_option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</si>
  <si>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</si>
  <si>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</si>
  <si>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</si>
  <si>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</si>
  <si>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</si>
  <si>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</si>
  <si>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</si>
  <si>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</si>
  <si>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</si>
  <si>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</si>
  <si>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</si>
  <si>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</si>
  <si>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</si>
  <si>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</si>
  <si>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</si>
  <si>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</si>
  <si>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</si>
  <si>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</si>
  <si>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</si>
  <si>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</si>
  <si>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</si>
  <si>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</si>
  <si>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</si>
  <si>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</si>
  <si>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</si>
  <si>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</si>
  <si>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</si>
  <si>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</si>
  <si>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</si>
  <si>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</si>
  <si>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</si>
  <si>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</si>
  <si>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</si>
  <si>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</si>
  <si>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</si>
  <si>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</si>
  <si>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</si>
  <si>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</si>
  <si>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</si>
  <si>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</si>
  <si>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</si>
  <si>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</si>
  <si>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</si>
  <si>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</si>
  <si>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</si>
  <si>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</si>
  <si>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text_single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</si>
  <si>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</si>
  <si>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</si>
  <si>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</si>
  <si>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</si>
  <si>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</si>
  <si>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</si>
  <si>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</si>
  <si>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</si>
  <si>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</si>
  <si>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</si>
  <si>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</si>
  <si>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</si>
  <si>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abundance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</si>
  <si>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</si>
  <si>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</si>
  <si>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</si>
  <si>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</si>
  <si>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</si>
  <si>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</si>
  <si>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</si>
  <si>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</si>
  <si>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</si>
  <si>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</si>
  <si>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</si>
  <si>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</si>
  <si>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</si>
  <si>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</si>
  <si>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</si>
  <si>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>formats: md:myst</t>
  </si>
  <si>
    <t xml:space="preserve">  text_representation:</t>
  </si>
  <si>
    <t>text_representation:</t>
  </si>
  <si>
    <t xml:space="preserve">    extension: .md</t>
  </si>
  <si>
    <t>extension: .md</t>
  </si>
  <si>
    <t xml:space="preserve">    format_name: myst</t>
  </si>
  <si>
    <t>format_name: myst</t>
  </si>
  <si>
    <t xml:space="preserve">    format_version:</t>
  </si>
  <si>
    <t>format_version:</t>
  </si>
  <si>
    <t xml:space="preserve">    jupytext_version:</t>
  </si>
  <si>
    <t>jupytext_version:</t>
  </si>
  <si>
    <t xml:space="preserve">  display_name: Python 3</t>
  </si>
  <si>
    <t xml:space="preserve">  language: python</t>
  </si>
  <si>
    <t>language: python</t>
  </si>
  <si>
    <t xml:space="preserve">  name: python3</t>
  </si>
  <si>
    <t>name: python3</t>
  </si>
  <si>
    <t xml:space="preserve">  markdown: </t>
  </si>
  <si>
    <t>wrap: none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</si>
  <si>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</si>
  <si>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</si>
  <si>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</si>
  <si>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</si>
  <si>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</si>
  <si>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</si>
  <si>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</si>
  <si>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</si>
  <si>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</si>
  <si>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</si>
  <si>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</si>
  <si>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</si>
  <si>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</si>
  <si>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</si>
  <si>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</si>
  <si>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</si>
  <si>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</si>
  <si>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</si>
  <si>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</si>
  <si>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</si>
  <si>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</si>
  <si>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</si>
  <si>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</si>
  <si>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</si>
  <si>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</si>
  <si>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</si>
  <si>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</si>
  <si>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</si>
  <si>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</si>
  <si>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</si>
  <si>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</si>
  <si>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</si>
  <si>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</si>
  <si>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</si>
  <si>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</si>
  <si>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</si>
  <si>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</si>
  <si>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</si>
  <si>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</si>
  <si>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</si>
  <si>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</si>
  <si>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</si>
  <si>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</si>
  <si>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</si>
  <si>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</si>
  <si>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</si>
  <si>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</si>
  <si>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</si>
  <si>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</si>
  <si>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</si>
  <si>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</si>
  <si>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</si>
  <si>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</si>
  <si>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</si>
  <si>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</si>
  <si>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</si>
  <si>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</si>
  <si>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</si>
  <si>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</si>
  <si>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</si>
  <si>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</si>
  <si>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</si>
  <si>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</si>
  <si>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</si>
  <si>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</si>
  <si>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</si>
  <si>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</si>
  <si>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</si>
  <si>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</si>
  <si>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</si>
  <si>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</si>
  <si>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</si>
  <si>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</si>
  <si>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</si>
  <si>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</si>
  <si>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</si>
  <si>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</si>
  <si>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</si>
  <si>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</si>
  <si>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</si>
  <si>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</si>
  <si>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</si>
  <si>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</si>
  <si>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</si>
  <si>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</si>
  <si>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</si>
  <si>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</si>
  <si>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</si>
  <si>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</si>
  <si>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</si>
  <si>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</si>
  <si>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</si>
  <si>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</si>
  <si>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</si>
  <si>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</si>
  <si>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</si>
  <si>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</si>
  <si>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</si>
  <si>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</si>
  <si>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</si>
  <si>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</si>
  <si>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</si>
  <si>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</si>
  <si>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</si>
  <si>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</si>
  <si>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</si>
  <si>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</si>
  <si>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</si>
  <si>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</si>
  <si>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</si>
  <si>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</si>
  <si>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</si>
  <si>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</si>
  <si>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</si>
  <si>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</si>
  <si>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</si>
  <si>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</si>
  <si>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</si>
  <si>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</si>
  <si>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</si>
  <si>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</si>
  <si>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</si>
  <si>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</si>
  <si>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</si>
  <si>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</si>
  <si>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</si>
  <si>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</si>
  <si>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</si>
  <si>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</si>
  <si>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</si>
  <si>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</si>
  <si>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</si>
  <si>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</si>
  <si>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</si>
  <si>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</si>
  <si>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</si>
  <si>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</si>
  <si>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</si>
  <si>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</si>
  <si>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</si>
  <si>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</si>
  <si>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</si>
  <si>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</si>
  <si>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</si>
  <si>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</si>
  <si>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</si>
  <si>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</si>
  <si>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</si>
  <si>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</si>
  <si>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</si>
  <si>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</si>
  <si>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</si>
  <si>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</si>
  <si>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</si>
  <si>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</si>
  <si>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</si>
  <si>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</si>
  <si>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</si>
  <si>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</si>
  <si>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</si>
  <si>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</si>
  <si>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</si>
  <si>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</si>
  <si>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</si>
  <si>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</si>
  <si>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</si>
  <si>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</si>
  <si>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</si>
  <si>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</si>
  <si>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</si>
  <si>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</si>
  <si>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</si>
  <si>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</si>
  <si>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</si>
  <si>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</si>
  <si>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</si>
  <si>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</si>
  <si>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</si>
  <si>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</si>
  <si>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</si>
  <si>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</si>
  <si>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</si>
  <si>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</si>
  <si>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</si>
  <si>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</si>
  <si>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</si>
  <si>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</si>
  <si>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</si>
  <si>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</si>
  <si>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</si>
  <si>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</si>
  <si>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</si>
  <si>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</si>
  <si>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</si>
  <si>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</si>
  <si>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</si>
  <si>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</si>
  <si>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</si>
  <si>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</si>
  <si>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</si>
  <si>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</si>
  <si>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</si>
  <si>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</si>
  <si>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</si>
  <si>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</si>
  <si>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</si>
  <si>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</si>
  <si>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</si>
  <si>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</si>
  <si>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</si>
  <si>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</si>
  <si>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</si>
  <si>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</si>
  <si>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</si>
  <si>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</si>
  <si>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</si>
  <si>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</si>
  <si>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</si>
  <si>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</si>
  <si>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</si>
  <si>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</si>
  <si>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</si>
  <si>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</si>
  <si>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</si>
  <si>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</si>
  <si>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</si>
  <si>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</si>
  <si>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</si>
  <si>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</si>
  <si>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</si>
  <si>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</si>
  <si>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</si>
  <si>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</si>
  <si>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</si>
  <si>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</si>
  <si>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</si>
  <si>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</si>
  <si>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</si>
  <si>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</si>
  <si>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</si>
  <si>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</si>
  <si>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</si>
  <si>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</si>
  <si>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</si>
  <si>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</si>
  <si>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</si>
  <si>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</si>
  <si>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</si>
  <si>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</si>
  <si>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</si>
  <si>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</si>
  <si>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</si>
  <si>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</si>
  <si>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</si>
  <si>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</si>
  <si>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</si>
  <si>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</si>
  <si>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</si>
  <si>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</si>
  <si>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</si>
  <si>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</si>
  <si>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</si>
  <si>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</si>
  <si>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</si>
  <si>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</si>
  <si>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</si>
  <si>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</si>
  <si>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</si>
  <si>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</si>
  <si>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</si>
  <si>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</si>
  <si>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</si>
  <si>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</si>
  <si>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</si>
  <si>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</si>
  <si>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</si>
  <si>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</si>
  <si>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</si>
  <si>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</si>
  <si>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</si>
  <si>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</si>
  <si>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</si>
  <si>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</si>
  <si>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</si>
  <si>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</si>
  <si>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</si>
  <si>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</si>
  <si>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</si>
  <si>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</si>
  <si>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</si>
  <si>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</si>
  <si>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</si>
  <si>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</si>
  <si>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</si>
  <si>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</si>
  <si>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</si>
  <si>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</si>
  <si>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</si>
  <si>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</si>
  <si>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</si>
  <si>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</si>
  <si>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</si>
  <si>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</si>
  <si>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</si>
  <si>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</si>
  <si>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</si>
  <si>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</si>
  <si>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</si>
  <si>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</si>
  <si>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</si>
  <si>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</si>
  <si>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</si>
  <si>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</si>
  <si>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</si>
  <si>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</si>
  <si>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</si>
  <si>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</si>
  <si>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</si>
  <si>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</si>
  <si>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</si>
  <si>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</si>
  <si>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</si>
  <si>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</si>
  <si>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</si>
  <si>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</si>
  <si>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</si>
  <si>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</si>
  <si>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</si>
  <si>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</si>
  <si>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</si>
  <si>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</si>
  <si>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</si>
  <si>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</si>
  <si>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</si>
  <si>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</si>
  <si>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</si>
  <si>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</si>
  <si>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</si>
  <si>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</si>
  <si>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</si>
  <si>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</si>
  <si>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</si>
  <si>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</si>
  <si>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</si>
  <si>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</si>
  <si>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</si>
  <si>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</si>
  <si>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</si>
  <si>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</si>
  <si>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</si>
  <si>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</si>
  <si>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</si>
  <si>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</si>
  <si>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</si>
  <si>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</si>
  <si>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</si>
  <si>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</si>
  <si>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</si>
  <si>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</si>
  <si>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</si>
  <si>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</si>
  <si>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</si>
  <si>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</si>
  <si>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</si>
  <si>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</si>
  <si>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</si>
  <si>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</si>
  <si>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</si>
  <si>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</si>
  <si>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</si>
  <si>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</si>
  <si>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</si>
  <si>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</si>
  <si>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</si>
  <si>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</si>
  <si>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</si>
  <si>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</si>
  <si>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</si>
  <si>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</si>
  <si>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</si>
  <si>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</si>
  <si>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</si>
  <si>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</si>
  <si>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</si>
  <si>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</si>
  <si>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</si>
  <si>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</si>
  <si>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</si>
  <si>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</si>
  <si>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</si>
  <si>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</si>
  <si>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</si>
  <si>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</si>
  <si>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</si>
  <si>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</si>
  <si>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</si>
  <si>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</si>
  <si>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</si>
  <si>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</si>
  <si>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</si>
  <si>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</si>
  <si>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</si>
  <si>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</si>
  <si>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</si>
  <si>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</si>
  <si>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</si>
  <si>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</si>
  <si>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</si>
  <si>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</si>
  <si>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</si>
  <si>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</si>
  <si>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</si>
  <si>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</si>
  <si>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</si>
  <si>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</si>
  <si>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</si>
  <si>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</si>
  <si>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</si>
  <si>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</si>
  <si>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</si>
  <si>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</si>
  <si>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</si>
  <si>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</si>
  <si>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</si>
  <si>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</si>
  <si>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</si>
  <si>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</si>
  <si>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</si>
  <si>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</si>
  <si>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</si>
  <si>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</si>
  <si>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</si>
  <si>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</si>
  <si>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</si>
  <si>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</si>
  <si>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</si>
  <si>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</si>
  <si>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</si>
  <si>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</si>
  <si>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</si>
  <si>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</si>
  <si>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xx</t>
  </si>
  <si>
    <t xml:space="preserve">    width=“100%”</t>
  </si>
  <si>
    <t xml:space="preserve">    height=“900”</t>
  </si>
  <si>
    <t xml:space="preserve">    loading=“lazy”</t>
  </si>
  <si>
    <t xml:space="preserve">    frameborder=“0”</t>
  </si>
  <si>
    <t xml:space="preserve">    allow=“accelerometer; autoplay; clipboard-write; encrypted-media; gyroscope; picture-in-picture”</t>
  </si>
  <si>
    <t xml:space="preserve">    allowfullscreen&gt;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</si>
  <si>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</si>
  <si>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</si>
  <si>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</si>
  <si>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</si>
  <si>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</si>
  <si>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</si>
  <si>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</si>
  <si>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</si>
  <si>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</si>
  <si>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</si>
  <si>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</si>
  <si>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</si>
  <si>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</si>
  <si>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</si>
  <si>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</si>
  <si>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</si>
  <si>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</si>
  <si>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</si>
  <si>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</si>
  <si>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</si>
  <si>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</si>
  <si>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</si>
  <si>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</si>
  <si>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</si>
  <si>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</si>
  <si>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</si>
  <si>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</si>
  <si>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</si>
  <si>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</si>
  <si>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</si>
  <si>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</si>
  <si>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</si>
  <si>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</si>
  <si>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</si>
  <si>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</si>
  <si>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</si>
  <si>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</si>
  <si>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</si>
  <si>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</si>
  <si>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</si>
  <si>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</si>
  <si>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</si>
  <si>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</si>
  <si>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</si>
  <si>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</si>
  <si>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</si>
  <si>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</si>
  <si>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</si>
  <si>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 xml:space="preserve">    formats: md:myst</t>
  </si>
  <si>
    <t xml:space="preserve">    display_name: Python 3</t>
  </si>
  <si>
    <t xml:space="preserve">    language: python</t>
  </si>
  <si>
    <t xml:space="preserve">    name: python3</t>
  </si>
  <si>
    <t xml:space="preserve">    markdown: </t>
  </si>
  <si>
    <t xml:space="preserve">        wrap: none</t>
  </si>
  <si>
    <t xml:space="preserve">    text_representation:</t>
  </si>
  <si>
    <t xml:space="preserve">        extension: .md</t>
  </si>
  <si>
    <t xml:space="preserve">        format_name: myst</t>
  </si>
  <si>
    <t xml:space="preserve">        format_version:</t>
  </si>
  <si>
    <t xml:space="preserve">        jupytext_version: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</si>
  <si>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</si>
  <si>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</si>
  <si>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</si>
  <si>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</si>
  <si>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</si>
  <si>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</si>
  <si>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</si>
  <si>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</si>
  <si>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</si>
  <si>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>markdown: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</si>
  <si>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</si>
  <si>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</si>
  <si>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</si>
  <si>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</si>
  <si>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</si>
  <si>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</si>
  <si>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</si>
  <si>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</si>
  <si>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</si>
  <si>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</si>
  <si>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</si>
  <si>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</si>
  <si>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:padding: 0^l</t>
  </si>
  <si>
    <t>:padding: 0^p</t>
  </si>
  <si>
    <t>:padding: 1^l</t>
  </si>
  <si>
    <t>:padding: 1^p</t>
  </si>
  <si>
    <t>:padding: 2^l</t>
  </si>
  <si>
    <t>:padding: 2^p</t>
  </si>
  <si>
    <t>:padding: 3^l</t>
  </si>
  <si>
    <t>:padding: 3^l^l</t>
  </si>
  <si>
    <t>:padding: 3^p</t>
  </si>
  <si>
    <t>:gutter: 1^p:padding: 0^p:margin: 0^p</t>
  </si>
  <si>
    <t>:gutter: 1^l:padding: 0^l:margin: 0^p</t>
  </si>
  <si>
    <t>RangeFind =A2:A74</t>
  </si>
  <si>
    <t>RangeRepl =B2:B74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</si>
  <si>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@```^p^l::::::@```^p^p^l^l::::::@```^p^p^l::::::@```^l::::{grid}@^l^l^l@:::::::{tab-set}^l:@}}^l^l:::{figure}@.^l```{figure}@---^l^l(@---^l^l^l(@^l:::::{grid}@^l::::{grid}@^l^l^l^l:::::{grid}@^l^l^l:::::{grid}@^l^l^l^l::::{grid}@^l^l^l::::{grid}@:margin: 2^l:::{grid-item}@^l:::^l^l::::^l@:columns: 10^l@:columns: 10^l^l^l@:columns: 2^l@:columns: 2^l^l^l@^l^l:columns:@^l^l:gutter:@^l:::::{card}@^l^l^l:::::{card}@^l^l@:padding: 0^l@:padding: 1^l@:padding: 2^l@:padding: 3^l@:padding: 3^l^l@:margin: 0^l@:margin: 1^l@:margin: 2^l@:margin: 3^l@:margin: 3^l^l@:gutter: 0^l@:gutter: 1^l@:gutter: 2^l@:gutter: 3^l@:gutter: 3^l^l@:gutter: 1^p:padding: 0^p:margin: 0^p@infobox@^l:::::::{tab-set}@^l:::::::{tab-set}@^l^l:::::^l^l@::::^l```@xxx"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</si>
  <si>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@```^l::::::@```^l::::::@```^l::::::@```^l^l::::{grid}@^l^l@:::::::{tab-set}^l^l:@}}^l:::{figure}@.^l^l```{figure}@---^l(@---^l(@^l^l:::::{grid}@^l^l::::{grid}@^l^l:::::{grid}@^l^l:::::{grid}@^l^l::::{grid}@^l^l::::{grid}@:margin: 2^l^l:::{grid-item}@^l:::^l::::^l@:columns: 10^l^l@:columns: 10^l^l@:columns: 2^l^l@:columns: 2^l^l@^l:columns:@^l:gutter:@^l^l:::::{card}@^l^l:::::{card}@^p@:padding: 0^p@:padding: 1^p@:padding: 2^p@:padding: 3^l^l@:padding: 3^p@:margin: 0^p@:margin: 1^p@:margin: 2^p@:margin: 3^l^l@:margin: 3^p@:gutter: 0^p@:gutter: 1^p@:gutter: 2^p@:gutter: 3^l^l@:gutter: 3^p@:gutter: 1^l:padding: 0^l:margin: 0^p@info-box@^p:::::::{tab-set}@^l^l:::::::{tab-set}@^l:::::^l^l@::::^p```@xxx"</t>
  </si>
  <si>
    <t>&lt;div style=“</t>
  </si>
  <si>
    <t>&lt;iframe src=“</t>
  </si>
  <si>
    <t>style=“position:</t>
  </si>
  <si>
    <t xml:space="preserve">  &lt;div style=“</t>
  </si>
  <si>
    <t xml:space="preserve">    &lt;iframe src=“</t>
  </si>
  <si>
    <t xml:space="preserve">      style=“position:</t>
  </si>
  <si>
    <t>&lt;/iframe&gt;^l&lt;/div&gt;</t>
  </si>
  <si>
    <t>&lt;/iframe&gt;^l  &lt;/div&gt;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</si>
  <si>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</si>
  <si>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</si>
  <si>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</si>
  <si>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</si>
  <si>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</si>
  <si>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</si>
  <si>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</si>
  <si>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</si>
  <si>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 xml:space="preserve">    src=</t>
  </si>
  <si>
    <t>width=“100%”</t>
  </si>
  <si>
    <t>height=“900”</t>
  </si>
  <si>
    <t>src=</t>
  </si>
  <si>
    <t>loading=“lazy”</t>
  </si>
  <si>
    <t>allow=“accelerometer; autoplay; clipboard-write; encrypted-media; gyroscope; picture-in-picture”</t>
  </si>
  <si>
    <t>allowfullscreen&gt;</t>
  </si>
  <si>
    <t>frameborder=“0”</t>
  </si>
  <si>
    <t xml:space="preserve">        width=“100%”</t>
  </si>
  <si>
    <t xml:space="preserve">        height=“900”</t>
  </si>
  <si>
    <t xml:space="preserve">        src=</t>
  </si>
  <si>
    <t xml:space="preserve">        loading=“lazy”</t>
  </si>
  <si>
    <t xml:space="preserve">        frameborder=“0”</t>
  </si>
  <si>
    <t xml:space="preserve">        allow=“accelerometer; autoplay; clipboard-write; encrypted-media; gyroscope; picture-in-picture”</t>
  </si>
  <si>
    <t xml:space="preserve">        allowfullscreen&gt;</t>
  </si>
  <si>
    <t>&lt;/iframe&gt;^l    &lt;/div&gt;</t>
  </si>
  <si>
    <t xml:space="preserve">            style=“position:</t>
  </si>
  <si>
    <t xml:space="preserve">        &lt;iframe src=“</t>
  </si>
  <si>
    <t xml:space="preserve">    &lt;div style=“</t>
  </si>
  <si>
    <t>resource1_type</t>
  </si>
  <si>
    <t>resource1_name</t>
  </si>
  <si>
    <t>resource1_note</t>
  </si>
  <si>
    <t>resource1_url</t>
  </si>
  <si>
    <t>{{ rbib_resource1_ref_id }}</t>
  </si>
  <si>
    <t>resource2_type</t>
  </si>
  <si>
    <t>resource2_name</t>
  </si>
  <si>
    <t>resource2_note</t>
  </si>
  <si>
    <t>resource2_url</t>
  </si>
  <si>
    <t>{{ rbib_resource2_ref_id }}</t>
  </si>
  <si>
    <t>resource3_type</t>
  </si>
  <si>
    <t>resource3_name</t>
  </si>
  <si>
    <t>resource3_note</t>
  </si>
  <si>
    <t>resource3_url</t>
  </si>
  <si>
    <t>{{ rbib_resource3_ref_id }}</t>
  </si>
  <si>
    <t>resource4_type</t>
  </si>
  <si>
    <t>resource4_name</t>
  </si>
  <si>
    <t>resource4_note</t>
  </si>
  <si>
    <t>resource4_url</t>
  </si>
  <si>
    <t>{{ rbib_resource4_ref_id }}</t>
  </si>
  <si>
    <t>resource5_type</t>
  </si>
  <si>
    <t>resource5_name</t>
  </si>
  <si>
    <t>resource5_note</t>
  </si>
  <si>
    <t>resource5_url</t>
  </si>
  <si>
    <t>{{ rbib_resource5_ref_id }}</t>
  </si>
  <si>
    <t>resource6_type</t>
  </si>
  <si>
    <t>resource6_name</t>
  </si>
  <si>
    <t>resource6_note</t>
  </si>
  <si>
    <t>resource6_url</t>
  </si>
  <si>
    <t>{{ rbib_resource6_ref_id }}</t>
  </si>
  <si>
    <t>resource7_type</t>
  </si>
  <si>
    <t>resource7_name</t>
  </si>
  <si>
    <t>resource7_note</t>
  </si>
  <si>
    <t>resource7_url</t>
  </si>
  <si>
    <t>{{ rbib_resource7_ref_id }}</t>
  </si>
  <si>
    <t>resource8_type</t>
  </si>
  <si>
    <t>resource8_name</t>
  </si>
  <si>
    <t>resource8_note</t>
  </si>
  <si>
    <t>resource8_url</t>
  </si>
  <si>
    <t>{{ rbib_resource8_ref_id}}</t>
  </si>
  <si>
    <t>resource9_type</t>
  </si>
  <si>
    <t>resource9_name</t>
  </si>
  <si>
    <t>resource9_note</t>
  </si>
  <si>
    <t>resource9_url</t>
  </si>
  <si>
    <t>{{ rbib_resource9_ref_id }}</t>
  </si>
  <si>
    <t>resource10_type</t>
  </si>
  <si>
    <t>resource10_name</t>
  </si>
  <si>
    <t>resource10_note</t>
  </si>
  <si>
    <t>resource10_url</t>
  </si>
  <si>
    <t>{{ rbib_resource10_ref_id }}</t>
  </si>
  <si>
    <t>resource11_type</t>
  </si>
  <si>
    <t>resource11_name</t>
  </si>
  <si>
    <t>resource11_note</t>
  </si>
  <si>
    <t>resource11_url</t>
  </si>
  <si>
    <t>{{ rbib_resource11_ref_id }}</t>
  </si>
  <si>
    <t>resource12_type</t>
  </si>
  <si>
    <t>resource12_name</t>
  </si>
  <si>
    <t>resource12_note</t>
  </si>
  <si>
    <t>resource12_url</t>
  </si>
  <si>
    <t>{{ rbib_resource12_ref_id }}</t>
  </si>
  <si>
    <t>resource13_type</t>
  </si>
  <si>
    <t>resource13_name</t>
  </si>
  <si>
    <t>resource13_note</t>
  </si>
  <si>
    <t>resource13_url</t>
  </si>
  <si>
    <t>{{ rbib_resource13_ref_id }}</t>
  </si>
  <si>
    <t>resource14_type</t>
  </si>
  <si>
    <t>resource14_name</t>
  </si>
  <si>
    <t>resource14_note</t>
  </si>
  <si>
    <t>resource14_url</t>
  </si>
  <si>
    <t>{{ rbib_resource14_ref_id }}</t>
  </si>
  <si>
    <t>resource15_type</t>
  </si>
  <si>
    <t>resource15_name</t>
  </si>
  <si>
    <t>resource15_note</t>
  </si>
  <si>
    <t>resource15_url</t>
  </si>
  <si>
    <t>{{ rbib_resource15_ref_id }}</t>
  </si>
  <si>
    <t>resource16_type</t>
  </si>
  <si>
    <t>resource16_name</t>
  </si>
  <si>
    <t>resource16_note</t>
  </si>
  <si>
    <t>resource16_url</t>
  </si>
  <si>
    <t>{{ rbib_resource16_ref_id }}</t>
  </si>
  <si>
    <t>resource17_type</t>
  </si>
  <si>
    <t>resource17_name</t>
  </si>
  <si>
    <t>resource17_note</t>
  </si>
  <si>
    <t>resource17_url</t>
  </si>
  <si>
    <t>{{ rbib_resource17_ref_id }}</t>
  </si>
  <si>
    <t>resource18_type</t>
  </si>
  <si>
    <t>resource18_name</t>
  </si>
  <si>
    <t>resource18_note</t>
  </si>
  <si>
    <t>resource18_url</t>
  </si>
  <si>
    <t>{{ rbib_resource18_ref_id}}</t>
  </si>
  <si>
    <t>resource19_type</t>
  </si>
  <si>
    <t>resource19_name</t>
  </si>
  <si>
    <t>resource19_note</t>
  </si>
  <si>
    <t>resource19_url</t>
  </si>
  <si>
    <t>{{ rbib_resource19_ref_id }}</t>
  </si>
  <si>
    <t>resource20_type</t>
  </si>
  <si>
    <t>resource20_name</t>
  </si>
  <si>
    <t>resource20_note</t>
  </si>
  <si>
    <t>resource20_url</t>
  </si>
  <si>
    <t>{{ rbib_resource20_ref_id }}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</si>
  <si>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</si>
  <si>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</si>
  <si>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{{ rbib_Error! Reference source not found. }}</t>
  </si>
  <si>
    <t>display_name: Python 3</t>
  </si>
  <si>
    <t>[mods_</t>
  </si>
  <si>
    <t>[mod_</t>
  </si>
  <si>
    <t xml:space="preserve">      markdown: </t>
  </si>
  <si>
    <t>&lt;div style=“position:relative;padding-top:56.25%;”&gt;</t>
  </si>
  <si>
    <t xml:space="preserve">  &lt;div style=“position:relative;padding-top:56.25%;”&gt;</t>
  </si>
  <si>
    <t>&lt;iframe src=“vid6_url” loading=“lazy” frameborder=“0” allowfullscreen</t>
  </si>
  <si>
    <t xml:space="preserve">    &lt;iframe src=“vid6_url” loading=“lazy” frameborder=“0” allowfullscreen</t>
  </si>
  <si>
    <t>style=“position:absolute;top:0;left:0;width:100%;height:100%;”&gt;&lt;/iframe&gt;</t>
  </si>
  <si>
    <t xml:space="preserve">      style=“position:absolute;top:0;left:0;width:100%;height:100%;”&gt;&lt;/iframe&gt;</t>
  </si>
  <si>
    <t>&lt;/div&gt;&lt;/div&gt;</t>
  </si>
  <si>
    <t xml:space="preserve">  &lt;/div&gt;&lt;/div&gt;</t>
  </si>
  <si>
    <t xml:space="preserve">    &lt;div style=“position:relative;padding-top:56.25%;”&gt;</t>
  </si>
  <si>
    <t xml:space="preserve">        &lt;iframe src=“vid6_url” loading=“lazy” frameborder=“0” allowfullscreen</t>
  </si>
  <si>
    <t xml:space="preserve">            style=“position:absolute;top:0;left:0;width:100%;height:100%;”&gt;&lt;/iframe&gt;</t>
  </si>
  <si>
    <t>term_def_mod_behaviour</t>
  </si>
  <si>
    <t>03_02_mod_divers_rich.md:57:</t>
  </si>
  <si>
    <t>01_18_sp_size.md:19:</t>
  </si>
  <si>
    <t>01_17_sp_hr_size.md:22:</t>
  </si>
  <si>
    <t>01_10_sp_asymptote.md:24:</t>
  </si>
  <si>
    <t>01_03_num_cams.md:24:</t>
  </si>
  <si>
    <t>03_02_mod_divers_rich.md:23:</t>
  </si>
  <si>
    <t>03_24_mod_behaviour.md:24:</t>
  </si>
  <si>
    <t>01_47_cam_independent.md:24:</t>
  </si>
  <si>
    <t>royle_2009</t>
  </si>
  <si>
    <t>bodysize_movement</t>
  </si>
  <si>
    <t>01_18_sp_size.md:98:</t>
  </si>
  <si>
    <t>01_02_objective.md:339:</t>
  </si>
  <si>
    <t>mcclintock_et_al_2013</t>
  </si>
  <si>
    <t>01_47_cam_independent.md:114:</t>
  </si>
  <si>
    <t>01_47_cam_independent.md:30:</t>
  </si>
  <si>
    <t>01_20_sp_detprob_cat.md:93:</t>
  </si>
  <si>
    <t xml:space="preserve"> WARNING: Substitution error:TemplateSyntaxError: unexpected '}'</t>
  </si>
  <si>
    <t>01_10_sp_asymptote.md:199:</t>
  </si>
  <si>
    <t xml:space="preserve"> WARNING: Substitution error:TemplateSyntaxError: expected token 'end of print statement', got 'rovero_tobler_2010'</t>
  </si>
  <si>
    <t xml:space="preserve"> WARNING: Substitution error:TemplateSyntaxError: expected token ':', got '}'</t>
  </si>
  <si>
    <t>01_18_sp_size.md:36:</t>
  </si>
  <si>
    <t xml:space="preserve"> WARNING: 'myst' cross-reference target not found: '/9_glossary#detection_probability' [myst.xref_missing]</t>
  </si>
  <si>
    <t>pro_con_assump\mod_scr_secr_apc.md:32:</t>
  </si>
  <si>
    <t xml:space="preserve"> WARNING: Duplicate explicit target name: "wildco_lab_2021d".</t>
  </si>
  <si>
    <t>08_references.md:20:</t>
  </si>
  <si>
    <t>EE</t>
  </si>
  <si>
    <t>EEE</t>
  </si>
  <si>
    <t>camera_direction_tl_abrv</t>
  </si>
  <si>
    <t>camera_location_tl_pl</t>
  </si>
  <si>
    <t>mod_rai_tl</t>
  </si>
  <si>
    <t>rbib_mcclintock_et_al_2013</t>
  </si>
  <si>
    <t>rbib_royle_2009</t>
  </si>
  <si>
    <t>rtxt_bodysize_movement</t>
  </si>
  <si>
    <t>term_cam_independent</t>
  </si>
  <si>
    <t>term_def_cam_independent</t>
  </si>
  <si>
    <t>term_def_mod_divers_rich</t>
  </si>
  <si>
    <t>term_def_num_cams</t>
  </si>
  <si>
    <t>term_def_sp_asymptote</t>
  </si>
  <si>
    <t>term_def_sp_hr_size</t>
  </si>
  <si>
    <t>term_def_sp_size</t>
  </si>
  <si>
    <t>term_mod_behaviour</t>
  </si>
  <si>
    <t>term_mod_divers_rich</t>
  </si>
  <si>
    <t>term_num_cams</t>
  </si>
  <si>
    <t>term_sp_asymptote</t>
  </si>
  <si>
    <t>term_sp_hr_size</t>
  </si>
  <si>
    <t>term_sp_size</t>
  </si>
  <si>
    <t>RangeFind =A2:A37</t>
  </si>
  <si>
    <t>RangeRepl =B2:B37</t>
  </si>
  <si>
    <t>StrFind ="xxx@formats: md:myst@text_representation:@extension: .md@format_name: myst@format_version:@jupytext_version:@display_name: Python 3@language: python@name: python3@markdown:@wrap: none@    formats: md:myst@    text_representation:@        extension: .md@        format_name: myst@        format_version:@        jupytext_version:@    display_name: Python 3@    language: python@    name: python3@      markdown: @        wrap: none@&lt;div style=“position:relative;padding-top:56.25%;”&gt;@&lt;iframe src=“vid6_url” loading=“lazy” frameborder=“0” allowfullscreen@style=“position:absolute;top:0;left:0;width:100%;height:100%;”&gt;&lt;/iframe&gt;@&lt;/div&gt;&lt;/div&gt;@    &lt;div style=“position:relative;padding-top:56.25%;”&gt;@        &lt;iframe src=“vid6_url” loading=“lazy” frameborder=“0” allowfullscreen@            style=“position:absolute;top:0;left:0;width:100%;height:100%;”&gt;&lt;/iframe&gt;@xxx@@@@@"</t>
  </si>
  <si>
    <t>StrRepl ="xxx@  formats: md:myst@  text_representation:@    extension: .md@    format_name: myst@    format_version:@    jupytext_version:@  display_name: Python 3@  language: python@  name: python3@  markdown:@    wrap: none@  formats: md:myst@  text_representation:@    extension: .md@    format_name: myst@    format_version:@    jupytext_version:@  display_name: Python 3@  language: python@  name: python3@  markdown: @    wrap: none@  &lt;div style=“position:relative;padding-top:56.25%;”&gt;@    &lt;iframe src=“vid6_url” loading=“lazy” frameborder=“0” allowfullscreen@      style=“position:absolute;top:0;left:0;width:100%;height:100%;”&gt;&lt;/iframe&gt;@  &lt;/div&gt;&lt;/div&gt;@  &lt;div style=“position:relative;padding-top:56.25%;”&gt;@    &lt;iframe src=“vid6_url” loading=“lazy” frameborder=“0” allowfullscreen@      style=“position:absolute;top:0;left:0;width:100%;height:100%;”&gt;&lt;/iframe&gt;@xxx@@@@@"</t>
  </si>
  <si>
    <t>cam_location_tl_pl</t>
  </si>
  <si>
    <t>density_tl</t>
  </si>
  <si>
    <t>obj_density_tl</t>
  </si>
  <si>
    <t>rtxt_sollman_2018</t>
  </si>
  <si>
    <t>rtxt_sollmann_2018</t>
  </si>
  <si>
    <t>nakashima_et_al_2018</t>
  </si>
  <si>
    <t>nakashima_et_al_2017</t>
  </si>
  <si>
    <t>|</t>
  </si>
  <si>
    <t>| {{ rbib_resource1_ref_id }} |</t>
  </si>
  <si>
    <t>| {{ rbib_resource2_ref_id }} |</t>
  </si>
  <si>
    <t>| {{ rbib_resource3_ref_id }} |</t>
  </si>
  <si>
    <t>| {{ rbib_resource4_ref_id }} |</t>
  </si>
  <si>
    <t>| {{ rbib_resource5_ref_id }} |</t>
  </si>
  <si>
    <t>| {{ rbib_resource6_ref_id }} |</t>
  </si>
  <si>
    <t>| {{ rbib_resource7_ref_id }} |</t>
  </si>
  <si>
    <t>| {{ rbib_resource8_ref_id}} |</t>
  </si>
  <si>
    <t>| {{ rbib_resource9_ref_id }} |</t>
  </si>
  <si>
    <t>| {{ rbib_resource10_ref_id }} |</t>
  </si>
  <si>
    <t>| {{ rbib_resource11_ref_id }} |</t>
  </si>
  <si>
    <t>| {{ rbib_resource12_ref_id }} |</t>
  </si>
  <si>
    <t>| {{ rbib_resource13_ref_id }} |</t>
  </si>
  <si>
    <t>| {{ rbib_resource14_ref_id }} |</t>
  </si>
  <si>
    <t>| {{ rbib_resource15_ref_id }} |</t>
  </si>
  <si>
    <t>| {{ rbib_resource16_ref_id }} |</t>
  </si>
  <si>
    <t>| {{ rbib_resource17_ref_id }} |</t>
  </si>
  <si>
    <t>| {{ rbib_resource18_ref_id}} |</t>
  </si>
  <si>
    <t>| {{ rbib_resource19_ref_id }} |</t>
  </si>
  <si>
    <t>| {{ rbib_resource20_ref_id }} |</t>
  </si>
  <si>
    <t>| {{ rbib_resource21_ref_id }} |</t>
  </si>
  <si>
    <t>| resource1_name |</t>
  </si>
  <si>
    <t>| resource2_name |</t>
  </si>
  <si>
    <t>| resource3_name |</t>
  </si>
  <si>
    <t>| resource4_name |</t>
  </si>
  <si>
    <t>| resource5_name |</t>
  </si>
  <si>
    <t>| resource6_name |</t>
  </si>
  <si>
    <t>| resource7_name |</t>
  </si>
  <si>
    <t>| resource8_name |</t>
  </si>
  <si>
    <t>| resource9_name |</t>
  </si>
  <si>
    <t>| resource10_name |</t>
  </si>
  <si>
    <t>| resource11_name |</t>
  </si>
  <si>
    <t>| resource12_name |</t>
  </si>
  <si>
    <t>| resource13_name |</t>
  </si>
  <si>
    <t>| resource14_name |</t>
  </si>
  <si>
    <t>| resource15_name |</t>
  </si>
  <si>
    <t>| resource16_name |</t>
  </si>
  <si>
    <t>| resource17_name |</t>
  </si>
  <si>
    <t>| resource18_name |</t>
  </si>
  <si>
    <t>| resource19_name |</t>
  </si>
  <si>
    <t>| resource20_name |</t>
  </si>
  <si>
    <t>| resource21_name |</t>
  </si>
  <si>
    <t>| resource1_note |</t>
  </si>
  <si>
    <t>| resource2_note |</t>
  </si>
  <si>
    <t>| resource3_note |</t>
  </si>
  <si>
    <t>| resource4_note |</t>
  </si>
  <si>
    <t>| resource5_note |</t>
  </si>
  <si>
    <t>| resource6_note |</t>
  </si>
  <si>
    <t>| resource7_note |</t>
  </si>
  <si>
    <t>| resource8_note |</t>
  </si>
  <si>
    <t>| resource9_note |</t>
  </si>
  <si>
    <t>| resource10_note |</t>
  </si>
  <si>
    <t>| resource11_note |</t>
  </si>
  <si>
    <t>| resource12_note |</t>
  </si>
  <si>
    <t>| resource13_note |</t>
  </si>
  <si>
    <t>| resource14_note |</t>
  </si>
  <si>
    <t>| resource15_note |</t>
  </si>
  <si>
    <t>| resource16_note |</t>
  </si>
  <si>
    <t>| resource17_note |</t>
  </si>
  <si>
    <t>| resource18_note |</t>
  </si>
  <si>
    <t>| resource19_note |</t>
  </si>
  <si>
    <t>| resource20_note |</t>
  </si>
  <si>
    <t>| resource21_note |</t>
  </si>
  <si>
    <t>| resource1_url |</t>
  </si>
  <si>
    <t>| resource2_url |</t>
  </si>
  <si>
    <t>| resource3_url |</t>
  </si>
  <si>
    <t>| resource4_url |</t>
  </si>
  <si>
    <t>| resource5_url |</t>
  </si>
  <si>
    <t>| resource6_url |</t>
  </si>
  <si>
    <t>| resource7_url |</t>
  </si>
  <si>
    <t>| resource8_url |</t>
  </si>
  <si>
    <t>| resource9_url |</t>
  </si>
  <si>
    <t>| resource10_url |</t>
  </si>
  <si>
    <t>| resource11_url |</t>
  </si>
  <si>
    <t>| resource12_url |</t>
  </si>
  <si>
    <t>| resource13_url |</t>
  </si>
  <si>
    <t>| resource14_url |</t>
  </si>
  <si>
    <t>| resource15_url |</t>
  </si>
  <si>
    <t>| resource16_url |</t>
  </si>
  <si>
    <t>| resource17_url |</t>
  </si>
  <si>
    <t>| resource18_url |</t>
  </si>
  <si>
    <t>| resource19_url |</t>
  </si>
  <si>
    <t>| resource20_url |</t>
  </si>
  <si>
    <t>| resource21_url |</t>
  </si>
  <si>
    <t>| Error! Reference source not found. |</t>
  </si>
  <si>
    <t>| resource1_type |</t>
  </si>
  <si>
    <t>| resource2_type |</t>
  </si>
  <si>
    <t>| resource3_type |</t>
  </si>
  <si>
    <t>| resource4_type |</t>
  </si>
  <si>
    <t>| resource5_type |</t>
  </si>
  <si>
    <t>| resource6_type |</t>
  </si>
  <si>
    <t>| resource7_type |</t>
  </si>
  <si>
    <t>| resource8_type |</t>
  </si>
  <si>
    <t>| resource9_type |</t>
  </si>
  <si>
    <t>| resource10_type |</t>
  </si>
  <si>
    <t>| resource11_type |</t>
  </si>
  <si>
    <t>| resource12_type |</t>
  </si>
  <si>
    <t>| resource13_type |</t>
  </si>
  <si>
    <t>| resource14_type |</t>
  </si>
  <si>
    <t>| resource15_type |</t>
  </si>
  <si>
    <t>| resource16_type |</t>
  </si>
  <si>
    <t>| resource17_type |</t>
  </si>
  <si>
    <t>| resource18_type |</t>
  </si>
  <si>
    <t>| resource19_type |</t>
  </si>
  <si>
    <t>| resource20_type |</t>
  </si>
  <si>
    <t>| resource21_type |</t>
  </si>
  <si>
    <t>| {{ rbib_Error! Reference source not found. }} |</t>
  </si>
  <si>
    <t>vid3_caption</t>
  </si>
  <si>
    <t>term_def_</t>
  </si>
  <si>
    <t>def_</t>
  </si>
  <si>
    <t>RangeFind =A2:A8</t>
  </si>
  <si>
    <t>RangeRepl =B2:B8</t>
  </si>
  <si>
    <t>StrFind ="xxx@camera_location_tl_pl@density_tl@rtxt_sollman_2018@nakashima_et_al_2018@term_def_@xxx"</t>
  </si>
  <si>
    <t>StrRepl ="xxx@cam_location_tl_pl@obj_density_tl@rtxt_sollmann_2018@nakashima_et_al_2017@def_@xxx"</t>
  </si>
  <si>
    <t>vid1_caption</t>
  </si>
  <si>
    <t>vid2_caption</t>
  </si>
  <si>
    <t>vid4_caption</t>
  </si>
  <si>
    <t>vid5_caption</t>
  </si>
  <si>
    <t>figure1_caption</t>
  </si>
  <si>
    <t>figure2_caption</t>
  </si>
  <si>
    <t>figure3_caption</t>
  </si>
  <si>
    <t>figure4_caption</t>
  </si>
  <si>
    <t>figure5_caption</t>
  </si>
  <si>
    <t>figure6_caption</t>
  </si>
  <si>
    <t>figure7_caption</t>
  </si>
  <si>
    <t>figure8_caption</t>
  </si>
  <si>
    <t>figure9_caption</t>
  </si>
  <si>
    <t>figure10_caption</t>
  </si>
  <si>
    <t>figure11_caption</t>
  </si>
  <si>
    <t>figure12_caption</t>
  </si>
  <si>
    <t>figure13_caption</t>
  </si>
  <si>
    <t>figure14_caption</t>
  </si>
  <si>
    <t>figure15_caption</t>
  </si>
  <si>
    <t>figure16_caption</t>
  </si>
  <si>
    <t>figure17_caption</t>
  </si>
  <si>
    <t>figure18_caption</t>
  </si>
  <si>
    <t>figure19_caption</t>
  </si>
  <si>
    <t>figure20_caption</t>
  </si>
  <si>
    <t>figure21_caption</t>
  </si>
  <si>
    <t>figure22_caption</t>
  </si>
  <si>
    <t>figure23_caption</t>
  </si>
  <si>
    <t>figure24_caption</t>
  </si>
  <si>
    <t>figure25_caption</t>
  </si>
  <si>
    <t>figure26_caption</t>
  </si>
  <si>
    <t>figure27_caption</t>
  </si>
  <si>
    <t>figure28_caption</t>
  </si>
  <si>
    <t>figure29_caption</t>
  </si>
  <si>
    <t>vid6_caption</t>
  </si>
  <si>
    <t>vid7_caption</t>
  </si>
  <si>
    <t>vid8_caption</t>
  </si>
  <si>
    <t>vid9_caption</t>
  </si>
  <si>
    <t>vid10_caption</t>
  </si>
  <si>
    <t>vid11_caption</t>
  </si>
  <si>
    <t>vid12_caption</t>
  </si>
  <si>
    <t>vid13_caption</t>
  </si>
  <si>
    <t>vid14_caption</t>
  </si>
  <si>
    <t>vid15_caption</t>
  </si>
  <si>
    <t>vid16_caption</t>
  </si>
  <si>
    <t>vid17_caption</t>
  </si>
  <si>
    <t>vid18_caption</t>
  </si>
  <si>
    <t>[[space2]]formats: md:myst</t>
  </si>
  <si>
    <t>[[space2]]text_representation:</t>
  </si>
  <si>
    <t>[[space4]]extension: .md</t>
  </si>
  <si>
    <t>[[space4]]format_name: myst</t>
  </si>
  <si>
    <t>[[space4]]format_version: 0.17.2 &lt;!--0.13--&gt;</t>
  </si>
  <si>
    <t>[[space4]]jupytext_version: 1.16.4 &lt;!-- 6.5.4--&gt;</t>
  </si>
  <si>
    <t>[[space2]]display_name: Python 3</t>
  </si>
  <si>
    <t>[[space2]]language: python</t>
  </si>
  <si>
    <t>[[space2]]name: python3</t>
  </si>
  <si>
    <t>[[space2]]markdown:</t>
  </si>
  <si>
    <t>[[space4]]wrap: none</t>
  </si>
  <si>
    <t xml:space="preserve">    format_version: 0.17.2 &lt;!--0.13--&gt;</t>
  </si>
  <si>
    <t xml:space="preserve">    jupytext_version: 1.16.4 &lt;!-- 6.5.4--&gt;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</si>
</sst>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Arial"/>
      <family val="2"/>
    </font>
    <font>
      <sz val="10"/>
      <color rgb="FF0C0D0E"/>
      <name val="Var(--ff-mono)"/>
    </font>
    <font>
      <sz val="10"/>
      <color rgb="FFFF0000"/>
      <name val="Var(--ff-mono)"/>
    </font>
    <font>
      <sz val="10"/>
      <color rgb="FF000000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applyFont="1"/>
    <xf numFmtId="0" fontId="4" fillId="2" borderId="0" xfId="0" applyFont="1" applyFill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vertical="center"/>
    </xf>
    <xf numFmtId="49" fontId="10" fillId="0" borderId="0" xfId="0" applyNumberFormat="1" applyFont="1"/>
    <xf numFmtId="49" fontId="0" fillId="0" borderId="0" xfId="0" applyNumberFormat="1"/>
    <xf numFmtId="49" fontId="6" fillId="0" borderId="0" xfId="0" applyNumberFormat="1" applyFont="1"/>
    <xf numFmtId="49" fontId="0" fillId="0" borderId="0" xfId="0" applyNumberFormat="1" applyAlignment="1">
      <alignment wrapText="1"/>
    </xf>
    <xf numFmtId="0" fontId="12" fillId="0" borderId="0" xfId="0" applyFont="1"/>
    <xf numFmtId="0" fontId="0" fillId="3" borderId="0" xfId="0" applyFill="1"/>
    <xf numFmtId="0" fontId="13" fillId="0" borderId="0" xfId="0" applyFont="1"/>
    <xf numFmtId="0" fontId="0" fillId="4" borderId="0" xfId="0" applyFill="1"/>
    <xf numFmtId="0" fontId="10" fillId="4" borderId="0" xfId="0" applyFont="1" applyFill="1" applyAlignment="1">
      <alignment vertical="top"/>
    </xf>
    <xf numFmtId="0" fontId="11" fillId="0" borderId="0" xfId="0" applyFont="1" applyAlignment="1">
      <alignment vertical="top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H429"/>
  <sheetViews>
    <sheetView zoomScale="88" zoomScaleNormal="88" workbookViewId="0">
      <selection activeCell="J8" sqref="J8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8" ht="15">
      <c r="A1" s="11" t="s">
        <v>330</v>
      </c>
      <c r="B1" s="11" t="s">
        <v>282</v>
      </c>
      <c r="C1" s="11"/>
      <c r="D1">
        <f>COUNTA(A:A)</f>
        <v>8</v>
      </c>
      <c r="G1" t="s">
        <v>330</v>
      </c>
      <c r="H1" t="s">
        <v>282</v>
      </c>
    </row>
    <row r="2" spans="1:8" ht="15">
      <c r="A2" s="11" t="s">
        <v>491</v>
      </c>
      <c r="B2" s="11" t="s">
        <v>491</v>
      </c>
      <c r="C2" s="11"/>
      <c r="G2" t="s">
        <v>491</v>
      </c>
      <c r="H2" t="s">
        <v>491</v>
      </c>
    </row>
    <row r="3" spans="1:8">
      <c r="A3" s="14" t="s">
        <v>1250</v>
      </c>
      <c r="B3" s="14" t="s">
        <v>1272</v>
      </c>
      <c r="C3" s="2"/>
      <c r="D3" t="s">
        <v>1390</v>
      </c>
      <c r="E3" t="s">
        <v>1392</v>
      </c>
      <c r="G3" t="s">
        <v>330</v>
      </c>
      <c r="H3" t="s">
        <v>282</v>
      </c>
    </row>
    <row r="4" spans="1:8">
      <c r="A4" t="s">
        <v>1273</v>
      </c>
      <c r="B4" t="s">
        <v>1274</v>
      </c>
      <c r="D4" t="s">
        <v>1391</v>
      </c>
      <c r="E4" t="s">
        <v>1393</v>
      </c>
      <c r="G4" t="s">
        <v>1207</v>
      </c>
      <c r="H4" t="s">
        <v>1208</v>
      </c>
    </row>
    <row r="5" spans="1:8">
      <c r="A5" s="15" t="s">
        <v>1275</v>
      </c>
      <c r="B5" t="s">
        <v>1276</v>
      </c>
      <c r="G5" t="s">
        <v>1081</v>
      </c>
      <c r="H5" t="s">
        <v>1080</v>
      </c>
    </row>
    <row r="6" spans="1:8" ht="15.75">
      <c r="A6" s="24" t="s">
        <v>1277</v>
      </c>
      <c r="B6" s="24" t="s">
        <v>1278</v>
      </c>
      <c r="G6" t="s">
        <v>474</v>
      </c>
      <c r="H6" t="s">
        <v>524</v>
      </c>
    </row>
    <row r="7" spans="1:8" ht="15.75">
      <c r="A7" s="24" t="s">
        <v>1388</v>
      </c>
      <c r="B7" s="24" t="s">
        <v>1389</v>
      </c>
      <c r="G7" t="s">
        <v>353</v>
      </c>
      <c r="H7" t="s">
        <v>354</v>
      </c>
    </row>
    <row r="8" spans="1:8" ht="15">
      <c r="A8" s="11" t="s">
        <v>491</v>
      </c>
      <c r="B8" s="11" t="s">
        <v>491</v>
      </c>
      <c r="G8" t="s">
        <v>351</v>
      </c>
      <c r="H8" t="s">
        <v>352</v>
      </c>
    </row>
    <row r="9" spans="1:8">
      <c r="G9" t="s">
        <v>406</v>
      </c>
      <c r="H9" t="s">
        <v>525</v>
      </c>
    </row>
    <row r="10" spans="1:8">
      <c r="G10" t="s">
        <v>409</v>
      </c>
      <c r="H10" t="s">
        <v>526</v>
      </c>
    </row>
    <row r="11" spans="1:8">
      <c r="G11" t="s">
        <v>391</v>
      </c>
      <c r="H11" t="s">
        <v>527</v>
      </c>
    </row>
    <row r="12" spans="1:8">
      <c r="G12" t="s">
        <v>333</v>
      </c>
      <c r="H12" t="s">
        <v>528</v>
      </c>
    </row>
    <row r="13" spans="1:8">
      <c r="G13" t="s">
        <v>362</v>
      </c>
      <c r="H13" t="s">
        <v>529</v>
      </c>
    </row>
    <row r="14" spans="1:8">
      <c r="D14" s="15"/>
      <c r="E14" s="12"/>
      <c r="G14" t="s">
        <v>335</v>
      </c>
      <c r="H14" t="s">
        <v>530</v>
      </c>
    </row>
    <row r="15" spans="1:8">
      <c r="G15" t="s">
        <v>334</v>
      </c>
      <c r="H15" t="s">
        <v>531</v>
      </c>
    </row>
    <row r="16" spans="1:8">
      <c r="G16" t="s">
        <v>496</v>
      </c>
      <c r="H16" t="s">
        <v>499</v>
      </c>
    </row>
    <row r="17" spans="1:8">
      <c r="G17" t="s">
        <v>410</v>
      </c>
      <c r="H17" t="s">
        <v>532</v>
      </c>
    </row>
    <row r="18" spans="1:8" ht="15">
      <c r="A18" s="11"/>
      <c r="B18" s="11"/>
      <c r="G18" t="s">
        <v>392</v>
      </c>
      <c r="H18" t="s">
        <v>533</v>
      </c>
    </row>
    <row r="19" spans="1:8">
      <c r="G19" t="s">
        <v>381</v>
      </c>
      <c r="H19" t="s">
        <v>534</v>
      </c>
    </row>
    <row r="20" spans="1:8">
      <c r="G20" t="s">
        <v>358</v>
      </c>
      <c r="H20" t="s">
        <v>535</v>
      </c>
    </row>
    <row r="21" spans="1:8">
      <c r="G21" t="s">
        <v>364</v>
      </c>
      <c r="H21" t="s">
        <v>536</v>
      </c>
    </row>
    <row r="22" spans="1:8">
      <c r="G22" t="s">
        <v>359</v>
      </c>
      <c r="H22" t="s">
        <v>537</v>
      </c>
    </row>
    <row r="23" spans="1:8">
      <c r="G23" t="s">
        <v>365</v>
      </c>
      <c r="H23" t="s">
        <v>538</v>
      </c>
    </row>
    <row r="24" spans="1:8">
      <c r="G24" t="s">
        <v>368</v>
      </c>
      <c r="H24" t="s">
        <v>539</v>
      </c>
    </row>
    <row r="25" spans="1:8">
      <c r="G25" t="s">
        <v>337</v>
      </c>
      <c r="H25" t="s">
        <v>540</v>
      </c>
    </row>
    <row r="26" spans="1:8" ht="15">
      <c r="A26" s="11"/>
      <c r="B26" s="11"/>
      <c r="G26" t="s">
        <v>337</v>
      </c>
      <c r="H26" t="s">
        <v>540</v>
      </c>
    </row>
    <row r="27" spans="1:8">
      <c r="G27" t="s">
        <v>338</v>
      </c>
      <c r="H27" t="s">
        <v>541</v>
      </c>
    </row>
    <row r="28" spans="1:8">
      <c r="G28" t="s">
        <v>338</v>
      </c>
      <c r="H28" t="s">
        <v>541</v>
      </c>
    </row>
    <row r="29" spans="1:8">
      <c r="G29" t="s">
        <v>357</v>
      </c>
      <c r="H29" t="s">
        <v>542</v>
      </c>
    </row>
    <row r="30" spans="1:8">
      <c r="G30" t="s">
        <v>331</v>
      </c>
      <c r="H30" t="s">
        <v>543</v>
      </c>
    </row>
    <row r="31" spans="1:8">
      <c r="G31" t="s">
        <v>473</v>
      </c>
      <c r="H31" t="s">
        <v>544</v>
      </c>
    </row>
    <row r="32" spans="1:8">
      <c r="G32" t="s">
        <v>332</v>
      </c>
      <c r="H32" t="s">
        <v>545</v>
      </c>
    </row>
    <row r="33" spans="7:8">
      <c r="G33" t="s">
        <v>422</v>
      </c>
      <c r="H33" t="s">
        <v>546</v>
      </c>
    </row>
    <row r="34" spans="7:8">
      <c r="G34" t="s">
        <v>423</v>
      </c>
      <c r="H34" t="s">
        <v>547</v>
      </c>
    </row>
    <row r="35" spans="7:8">
      <c r="G35" t="s">
        <v>411</v>
      </c>
      <c r="H35" t="s">
        <v>548</v>
      </c>
    </row>
    <row r="36" spans="7:8">
      <c r="G36" t="s">
        <v>393</v>
      </c>
      <c r="H36" t="s">
        <v>549</v>
      </c>
    </row>
    <row r="37" spans="7:8">
      <c r="G37" t="s">
        <v>369</v>
      </c>
      <c r="H37" t="s">
        <v>550</v>
      </c>
    </row>
    <row r="38" spans="7:8">
      <c r="G38" t="s">
        <v>382</v>
      </c>
      <c r="H38" t="s">
        <v>551</v>
      </c>
    </row>
    <row r="39" spans="7:8">
      <c r="G39" t="s">
        <v>383</v>
      </c>
      <c r="H39" t="s">
        <v>552</v>
      </c>
    </row>
    <row r="40" spans="7:8">
      <c r="G40" t="s">
        <v>449</v>
      </c>
      <c r="H40" t="s">
        <v>553</v>
      </c>
    </row>
    <row r="41" spans="7:8">
      <c r="G41" t="s">
        <v>451</v>
      </c>
      <c r="H41" t="s">
        <v>554</v>
      </c>
    </row>
    <row r="42" spans="7:8">
      <c r="G42" t="s">
        <v>453</v>
      </c>
      <c r="H42" t="s">
        <v>555</v>
      </c>
    </row>
    <row r="43" spans="7:8">
      <c r="G43" t="s">
        <v>456</v>
      </c>
      <c r="H43" t="s">
        <v>556</v>
      </c>
    </row>
    <row r="44" spans="7:8">
      <c r="G44" t="s">
        <v>461</v>
      </c>
      <c r="H44" t="s">
        <v>557</v>
      </c>
    </row>
    <row r="45" spans="7:8">
      <c r="G45" t="s">
        <v>466</v>
      </c>
      <c r="H45" t="s">
        <v>558</v>
      </c>
    </row>
    <row r="46" spans="7:8">
      <c r="G46" t="s">
        <v>463</v>
      </c>
      <c r="H46" t="s">
        <v>559</v>
      </c>
    </row>
    <row r="47" spans="7:8">
      <c r="G47" t="s">
        <v>464</v>
      </c>
      <c r="H47" t="s">
        <v>560</v>
      </c>
    </row>
    <row r="48" spans="7:8">
      <c r="G48" t="s">
        <v>468</v>
      </c>
      <c r="H48" t="s">
        <v>561</v>
      </c>
    </row>
    <row r="49" spans="7:8">
      <c r="G49" t="s">
        <v>378</v>
      </c>
      <c r="H49" t="s">
        <v>562</v>
      </c>
    </row>
    <row r="50" spans="7:8">
      <c r="G50" t="s">
        <v>492</v>
      </c>
      <c r="H50" t="s">
        <v>493</v>
      </c>
    </row>
    <row r="51" spans="7:8">
      <c r="G51" t="s">
        <v>363</v>
      </c>
      <c r="H51" t="s">
        <v>563</v>
      </c>
    </row>
    <row r="52" spans="7:8">
      <c r="G52" t="s">
        <v>379</v>
      </c>
      <c r="H52" t="s">
        <v>564</v>
      </c>
    </row>
    <row r="53" spans="7:8">
      <c r="G53" t="s">
        <v>504</v>
      </c>
      <c r="H53" t="s">
        <v>565</v>
      </c>
    </row>
    <row r="54" spans="7:8">
      <c r="G54" t="s">
        <v>370</v>
      </c>
      <c r="H54" t="s">
        <v>566</v>
      </c>
    </row>
    <row r="55" spans="7:8">
      <c r="G55" t="s">
        <v>407</v>
      </c>
      <c r="H55" t="s">
        <v>567</v>
      </c>
    </row>
    <row r="56" spans="7:8">
      <c r="G56" t="s">
        <v>433</v>
      </c>
      <c r="H56" t="s">
        <v>568</v>
      </c>
    </row>
    <row r="57" spans="7:8">
      <c r="G57" t="s">
        <v>375</v>
      </c>
      <c r="H57" t="s">
        <v>569</v>
      </c>
    </row>
    <row r="58" spans="7:8">
      <c r="G58" t="s">
        <v>371</v>
      </c>
      <c r="H58" t="s">
        <v>570</v>
      </c>
    </row>
    <row r="59" spans="7:8">
      <c r="G59" t="s">
        <v>372</v>
      </c>
      <c r="H59" t="s">
        <v>571</v>
      </c>
    </row>
    <row r="60" spans="7:8">
      <c r="G60" t="s">
        <v>356</v>
      </c>
      <c r="H60" t="s">
        <v>572</v>
      </c>
    </row>
    <row r="61" spans="7:8">
      <c r="G61" t="s">
        <v>355</v>
      </c>
      <c r="H61" t="s">
        <v>573</v>
      </c>
    </row>
    <row r="62" spans="7:8">
      <c r="G62" t="s">
        <v>373</v>
      </c>
      <c r="H62" t="s">
        <v>574</v>
      </c>
    </row>
    <row r="63" spans="7:8">
      <c r="G63" t="s">
        <v>377</v>
      </c>
      <c r="H63" t="s">
        <v>575</v>
      </c>
    </row>
    <row r="64" spans="7:8">
      <c r="G64" t="s">
        <v>367</v>
      </c>
      <c r="H64" t="s">
        <v>575</v>
      </c>
    </row>
    <row r="65" spans="7:8">
      <c r="G65" t="s">
        <v>374</v>
      </c>
      <c r="H65" t="s">
        <v>576</v>
      </c>
    </row>
    <row r="66" spans="7:8">
      <c r="G66" t="s">
        <v>376</v>
      </c>
      <c r="H66" t="s">
        <v>577</v>
      </c>
    </row>
    <row r="67" spans="7:8">
      <c r="G67" t="s">
        <v>412</v>
      </c>
      <c r="H67" t="s">
        <v>578</v>
      </c>
    </row>
    <row r="68" spans="7:8">
      <c r="G68" t="s">
        <v>394</v>
      </c>
      <c r="H68" t="s">
        <v>579</v>
      </c>
    </row>
    <row r="69" spans="7:8">
      <c r="G69" t="s">
        <v>413</v>
      </c>
      <c r="H69" t="s">
        <v>580</v>
      </c>
    </row>
    <row r="70" spans="7:8">
      <c r="G70" t="s">
        <v>395</v>
      </c>
      <c r="H70" t="s">
        <v>581</v>
      </c>
    </row>
    <row r="71" spans="7:8">
      <c r="G71" t="s">
        <v>471</v>
      </c>
      <c r="H71" t="s">
        <v>503</v>
      </c>
    </row>
    <row r="72" spans="7:8">
      <c r="G72" t="s">
        <v>390</v>
      </c>
      <c r="H72" t="s">
        <v>582</v>
      </c>
    </row>
    <row r="73" spans="7:8">
      <c r="G73" t="s">
        <v>361</v>
      </c>
      <c r="H73" t="s">
        <v>502</v>
      </c>
    </row>
    <row r="74" spans="7:8">
      <c r="G74" t="s">
        <v>380</v>
      </c>
      <c r="H74" t="s">
        <v>583</v>
      </c>
    </row>
    <row r="75" spans="7:8">
      <c r="G75" t="s">
        <v>432</v>
      </c>
      <c r="H75" t="s">
        <v>584</v>
      </c>
    </row>
    <row r="76" spans="7:8">
      <c r="G76" t="s">
        <v>384</v>
      </c>
      <c r="H76" t="s">
        <v>585</v>
      </c>
    </row>
    <row r="77" spans="7:8">
      <c r="G77" t="s">
        <v>408</v>
      </c>
      <c r="H77" t="s">
        <v>586</v>
      </c>
    </row>
    <row r="78" spans="7:8">
      <c r="G78" t="s">
        <v>396</v>
      </c>
      <c r="H78" t="s">
        <v>587</v>
      </c>
    </row>
    <row r="79" spans="7:8">
      <c r="G79" t="s">
        <v>458</v>
      </c>
      <c r="H79" t="s">
        <v>588</v>
      </c>
    </row>
    <row r="80" spans="7:8">
      <c r="G80" t="s">
        <v>385</v>
      </c>
      <c r="H80" t="s">
        <v>589</v>
      </c>
    </row>
    <row r="81" spans="7:8">
      <c r="G81" t="s">
        <v>386</v>
      </c>
      <c r="H81" t="s">
        <v>590</v>
      </c>
    </row>
    <row r="82" spans="7:8">
      <c r="G82" t="s">
        <v>404</v>
      </c>
      <c r="H82" t="s">
        <v>591</v>
      </c>
    </row>
    <row r="83" spans="7:8">
      <c r="G83" t="s">
        <v>387</v>
      </c>
      <c r="H83" t="s">
        <v>592</v>
      </c>
    </row>
    <row r="84" spans="7:8">
      <c r="G84" t="s">
        <v>414</v>
      </c>
      <c r="H84" t="s">
        <v>593</v>
      </c>
    </row>
    <row r="85" spans="7:8">
      <c r="G85" t="s">
        <v>397</v>
      </c>
      <c r="H85" t="s">
        <v>594</v>
      </c>
    </row>
    <row r="86" spans="7:8">
      <c r="G86" t="s">
        <v>415</v>
      </c>
      <c r="H86" t="s">
        <v>595</v>
      </c>
    </row>
    <row r="87" spans="7:8">
      <c r="G87" t="s">
        <v>398</v>
      </c>
      <c r="H87" t="s">
        <v>596</v>
      </c>
    </row>
    <row r="88" spans="7:8">
      <c r="G88" t="s">
        <v>336</v>
      </c>
      <c r="H88" t="s">
        <v>597</v>
      </c>
    </row>
    <row r="89" spans="7:8">
      <c r="G89" t="s">
        <v>399</v>
      </c>
      <c r="H89" t="s">
        <v>598</v>
      </c>
    </row>
    <row r="90" spans="7:8">
      <c r="G90" t="s">
        <v>405</v>
      </c>
      <c r="H90" t="s">
        <v>599</v>
      </c>
    </row>
    <row r="91" spans="7:8">
      <c r="G91" t="s">
        <v>475</v>
      </c>
      <c r="H91" t="s">
        <v>600</v>
      </c>
    </row>
    <row r="92" spans="7:8">
      <c r="G92" t="s">
        <v>476</v>
      </c>
      <c r="H92" t="s">
        <v>601</v>
      </c>
    </row>
    <row r="93" spans="7:8">
      <c r="G93" t="s">
        <v>360</v>
      </c>
      <c r="H93" t="s">
        <v>602</v>
      </c>
    </row>
    <row r="94" spans="7:8">
      <c r="G94" t="s">
        <v>366</v>
      </c>
      <c r="H94" t="s">
        <v>603</v>
      </c>
    </row>
    <row r="95" spans="7:8">
      <c r="G95" t="s">
        <v>472</v>
      </c>
      <c r="H95" t="s">
        <v>498</v>
      </c>
    </row>
    <row r="96" spans="7:8">
      <c r="G96" t="s">
        <v>495</v>
      </c>
      <c r="H96" t="s">
        <v>497</v>
      </c>
    </row>
    <row r="97" spans="7:8">
      <c r="G97" t="s">
        <v>416</v>
      </c>
      <c r="H97" t="s">
        <v>604</v>
      </c>
    </row>
    <row r="98" spans="7:8">
      <c r="G98" t="s">
        <v>400</v>
      </c>
      <c r="H98" t="s">
        <v>605</v>
      </c>
    </row>
    <row r="99" spans="7:8">
      <c r="G99" t="s">
        <v>417</v>
      </c>
      <c r="H99" t="s">
        <v>606</v>
      </c>
    </row>
    <row r="100" spans="7:8">
      <c r="G100" t="s">
        <v>401</v>
      </c>
      <c r="H100" t="s">
        <v>607</v>
      </c>
    </row>
    <row r="101" spans="7:8">
      <c r="G101" t="s">
        <v>418</v>
      </c>
      <c r="H101" t="s">
        <v>608</v>
      </c>
    </row>
    <row r="102" spans="7:8">
      <c r="G102" t="s">
        <v>402</v>
      </c>
      <c r="H102" t="s">
        <v>609</v>
      </c>
    </row>
    <row r="103" spans="7:8">
      <c r="G103" t="s">
        <v>431</v>
      </c>
      <c r="H103" t="s">
        <v>610</v>
      </c>
    </row>
    <row r="104" spans="7:8">
      <c r="G104" t="s">
        <v>419</v>
      </c>
      <c r="H104" t="s">
        <v>611</v>
      </c>
    </row>
    <row r="105" spans="7:8">
      <c r="G105" t="s">
        <v>403</v>
      </c>
      <c r="H105" t="s">
        <v>612</v>
      </c>
    </row>
    <row r="106" spans="7:8">
      <c r="G106" t="s">
        <v>388</v>
      </c>
      <c r="H106" t="s">
        <v>613</v>
      </c>
    </row>
    <row r="107" spans="7:8">
      <c r="G107" t="s">
        <v>389</v>
      </c>
      <c r="H107" t="s">
        <v>614</v>
      </c>
    </row>
    <row r="108" spans="7:8">
      <c r="G108" t="s">
        <v>281</v>
      </c>
      <c r="H108" t="s">
        <v>615</v>
      </c>
    </row>
    <row r="109" spans="7:8">
      <c r="G109" t="s">
        <v>280</v>
      </c>
      <c r="H109" t="s">
        <v>616</v>
      </c>
    </row>
    <row r="110" spans="7:8">
      <c r="G110" t="s">
        <v>279</v>
      </c>
      <c r="H110" t="s">
        <v>617</v>
      </c>
    </row>
    <row r="111" spans="7:8">
      <c r="G111" t="s">
        <v>278</v>
      </c>
      <c r="H111" t="s">
        <v>618</v>
      </c>
    </row>
    <row r="112" spans="7:8">
      <c r="G112" t="s">
        <v>277</v>
      </c>
      <c r="H112" t="s">
        <v>619</v>
      </c>
    </row>
    <row r="113" spans="7:8">
      <c r="G113" t="s">
        <v>276</v>
      </c>
      <c r="H113" t="s">
        <v>620</v>
      </c>
    </row>
    <row r="114" spans="7:8">
      <c r="G114" t="s">
        <v>275</v>
      </c>
      <c r="H114" t="s">
        <v>621</v>
      </c>
    </row>
    <row r="115" spans="7:8">
      <c r="G115" t="s">
        <v>274</v>
      </c>
      <c r="H115" t="s">
        <v>622</v>
      </c>
    </row>
    <row r="116" spans="7:8">
      <c r="G116" t="s">
        <v>273</v>
      </c>
      <c r="H116" t="s">
        <v>623</v>
      </c>
    </row>
    <row r="117" spans="7:8">
      <c r="G117" t="s">
        <v>85</v>
      </c>
      <c r="H117" t="s">
        <v>624</v>
      </c>
    </row>
    <row r="118" spans="7:8">
      <c r="G118" t="s">
        <v>174</v>
      </c>
      <c r="H118" t="s">
        <v>625</v>
      </c>
    </row>
    <row r="119" spans="7:8">
      <c r="G119" t="s">
        <v>84</v>
      </c>
      <c r="H119" t="s">
        <v>626</v>
      </c>
    </row>
    <row r="120" spans="7:8">
      <c r="G120" t="s">
        <v>173</v>
      </c>
      <c r="H120" t="s">
        <v>627</v>
      </c>
    </row>
    <row r="121" spans="7:8">
      <c r="G121" t="s">
        <v>272</v>
      </c>
      <c r="H121" t="s">
        <v>628</v>
      </c>
    </row>
    <row r="122" spans="7:8">
      <c r="G122" t="s">
        <v>51</v>
      </c>
      <c r="H122" t="s">
        <v>629</v>
      </c>
    </row>
    <row r="123" spans="7:8">
      <c r="G123" t="s">
        <v>139</v>
      </c>
      <c r="H123" t="s">
        <v>630</v>
      </c>
    </row>
    <row r="124" spans="7:8">
      <c r="G124" t="s">
        <v>34</v>
      </c>
      <c r="H124" t="s">
        <v>631</v>
      </c>
    </row>
    <row r="125" spans="7:8">
      <c r="G125" t="s">
        <v>122</v>
      </c>
      <c r="H125" t="s">
        <v>632</v>
      </c>
    </row>
    <row r="126" spans="7:8">
      <c r="G126" t="s">
        <v>3</v>
      </c>
      <c r="H126" t="s">
        <v>633</v>
      </c>
    </row>
    <row r="127" spans="7:8">
      <c r="G127" t="s">
        <v>91</v>
      </c>
      <c r="H127" t="s">
        <v>634</v>
      </c>
    </row>
    <row r="128" spans="7:8">
      <c r="G128" t="s">
        <v>271</v>
      </c>
      <c r="H128" t="s">
        <v>635</v>
      </c>
    </row>
    <row r="129" spans="7:8">
      <c r="G129" t="s">
        <v>270</v>
      </c>
      <c r="H129" t="s">
        <v>636</v>
      </c>
    </row>
    <row r="130" spans="7:8">
      <c r="G130" t="s">
        <v>268</v>
      </c>
      <c r="H130" t="s">
        <v>637</v>
      </c>
    </row>
    <row r="131" spans="7:8">
      <c r="G131" t="s">
        <v>267</v>
      </c>
      <c r="H131" t="s">
        <v>638</v>
      </c>
    </row>
    <row r="132" spans="7:8">
      <c r="G132" t="s">
        <v>81</v>
      </c>
      <c r="H132" t="s">
        <v>639</v>
      </c>
    </row>
    <row r="133" spans="7:8">
      <c r="G133" t="s">
        <v>170</v>
      </c>
      <c r="H133" t="s">
        <v>640</v>
      </c>
    </row>
    <row r="134" spans="7:8">
      <c r="G134" t="s">
        <v>266</v>
      </c>
      <c r="H134" t="s">
        <v>641</v>
      </c>
    </row>
    <row r="135" spans="7:8">
      <c r="G135" t="s">
        <v>265</v>
      </c>
      <c r="H135" t="s">
        <v>642</v>
      </c>
    </row>
    <row r="136" spans="7:8">
      <c r="G136" t="s">
        <v>169</v>
      </c>
      <c r="H136" t="s">
        <v>643</v>
      </c>
    </row>
    <row r="137" spans="7:8">
      <c r="G137" t="s">
        <v>264</v>
      </c>
      <c r="H137" t="s">
        <v>644</v>
      </c>
    </row>
    <row r="138" spans="7:8">
      <c r="G138" t="s">
        <v>263</v>
      </c>
      <c r="H138" t="s">
        <v>645</v>
      </c>
    </row>
    <row r="139" spans="7:8">
      <c r="G139" t="s">
        <v>262</v>
      </c>
      <c r="H139" t="s">
        <v>646</v>
      </c>
    </row>
    <row r="140" spans="7:8">
      <c r="G140" t="s">
        <v>269</v>
      </c>
      <c r="H140" t="s">
        <v>647</v>
      </c>
    </row>
    <row r="141" spans="7:8">
      <c r="G141" t="s">
        <v>261</v>
      </c>
      <c r="H141" t="s">
        <v>648</v>
      </c>
    </row>
    <row r="142" spans="7:8">
      <c r="G142" t="s">
        <v>260</v>
      </c>
      <c r="H142" t="s">
        <v>649</v>
      </c>
    </row>
    <row r="143" spans="7:8">
      <c r="G143" t="s">
        <v>259</v>
      </c>
      <c r="H143" t="s">
        <v>650</v>
      </c>
    </row>
    <row r="144" spans="7:8">
      <c r="G144" t="s">
        <v>258</v>
      </c>
      <c r="H144" t="s">
        <v>651</v>
      </c>
    </row>
    <row r="145" spans="7:8">
      <c r="G145" t="s">
        <v>257</v>
      </c>
      <c r="H145" t="s">
        <v>652</v>
      </c>
    </row>
    <row r="146" spans="7:8">
      <c r="G146" t="s">
        <v>256</v>
      </c>
      <c r="H146" t="s">
        <v>653</v>
      </c>
    </row>
    <row r="147" spans="7:8">
      <c r="G147" t="s">
        <v>255</v>
      </c>
      <c r="H147" t="s">
        <v>654</v>
      </c>
    </row>
    <row r="148" spans="7:8">
      <c r="G148" t="s">
        <v>254</v>
      </c>
      <c r="H148" t="s">
        <v>655</v>
      </c>
    </row>
    <row r="149" spans="7:8">
      <c r="G149" t="s">
        <v>253</v>
      </c>
      <c r="H149" t="s">
        <v>656</v>
      </c>
    </row>
    <row r="150" spans="7:8">
      <c r="G150" t="s">
        <v>252</v>
      </c>
      <c r="H150" t="s">
        <v>657</v>
      </c>
    </row>
    <row r="151" spans="7:8">
      <c r="G151" t="s">
        <v>80</v>
      </c>
      <c r="H151" t="s">
        <v>658</v>
      </c>
    </row>
    <row r="152" spans="7:8">
      <c r="G152" t="s">
        <v>168</v>
      </c>
      <c r="H152" t="s">
        <v>659</v>
      </c>
    </row>
    <row r="153" spans="7:8">
      <c r="G153" t="s">
        <v>77</v>
      </c>
      <c r="H153" t="s">
        <v>660</v>
      </c>
    </row>
    <row r="154" spans="7:8">
      <c r="G154" t="s">
        <v>165</v>
      </c>
      <c r="H154" t="s">
        <v>661</v>
      </c>
    </row>
    <row r="155" spans="7:8">
      <c r="G155" t="s">
        <v>76</v>
      </c>
      <c r="H155" t="s">
        <v>662</v>
      </c>
    </row>
    <row r="156" spans="7:8">
      <c r="G156" t="s">
        <v>164</v>
      </c>
      <c r="H156" t="s">
        <v>663</v>
      </c>
    </row>
    <row r="157" spans="7:8">
      <c r="G157" t="s">
        <v>75</v>
      </c>
      <c r="H157" t="s">
        <v>664</v>
      </c>
    </row>
    <row r="158" spans="7:8">
      <c r="G158" t="s">
        <v>163</v>
      </c>
      <c r="H158" t="s">
        <v>665</v>
      </c>
    </row>
    <row r="159" spans="7:8">
      <c r="G159" t="s">
        <v>70</v>
      </c>
      <c r="H159" t="s">
        <v>666</v>
      </c>
    </row>
    <row r="160" spans="7:8">
      <c r="G160" t="s">
        <v>158</v>
      </c>
      <c r="H160" t="s">
        <v>667</v>
      </c>
    </row>
    <row r="161" spans="7:8">
      <c r="G161" t="s">
        <v>251</v>
      </c>
      <c r="H161" t="s">
        <v>668</v>
      </c>
    </row>
    <row r="162" spans="7:8">
      <c r="G162" t="s">
        <v>73</v>
      </c>
      <c r="H162" t="s">
        <v>669</v>
      </c>
    </row>
    <row r="163" spans="7:8">
      <c r="G163" t="s">
        <v>161</v>
      </c>
      <c r="H163" t="s">
        <v>670</v>
      </c>
    </row>
    <row r="164" spans="7:8">
      <c r="G164" t="s">
        <v>250</v>
      </c>
      <c r="H164" t="s">
        <v>671</v>
      </c>
    </row>
    <row r="165" spans="7:8">
      <c r="G165" t="s">
        <v>249</v>
      </c>
      <c r="H165" t="s">
        <v>672</v>
      </c>
    </row>
    <row r="166" spans="7:8">
      <c r="G166" t="s">
        <v>248</v>
      </c>
      <c r="H166" t="s">
        <v>673</v>
      </c>
    </row>
    <row r="167" spans="7:8">
      <c r="G167" t="s">
        <v>247</v>
      </c>
      <c r="H167" t="s">
        <v>674</v>
      </c>
    </row>
    <row r="168" spans="7:8">
      <c r="G168" t="s">
        <v>439</v>
      </c>
      <c r="H168" t="s">
        <v>675</v>
      </c>
    </row>
    <row r="169" spans="7:8">
      <c r="G169" t="s">
        <v>72</v>
      </c>
      <c r="H169" t="s">
        <v>676</v>
      </c>
    </row>
    <row r="170" spans="7:8">
      <c r="G170" t="s">
        <v>160</v>
      </c>
      <c r="H170" t="s">
        <v>677</v>
      </c>
    </row>
    <row r="171" spans="7:8">
      <c r="G171" t="s">
        <v>246</v>
      </c>
      <c r="H171" t="s">
        <v>678</v>
      </c>
    </row>
    <row r="172" spans="7:8">
      <c r="G172" t="s">
        <v>245</v>
      </c>
      <c r="H172" t="s">
        <v>679</v>
      </c>
    </row>
    <row r="173" spans="7:8">
      <c r="G173" t="s">
        <v>71</v>
      </c>
      <c r="H173" t="s">
        <v>680</v>
      </c>
    </row>
    <row r="174" spans="7:8">
      <c r="G174" t="s">
        <v>159</v>
      </c>
      <c r="H174" t="s">
        <v>681</v>
      </c>
    </row>
    <row r="175" spans="7:8">
      <c r="G175" t="s">
        <v>69</v>
      </c>
      <c r="H175" t="s">
        <v>682</v>
      </c>
    </row>
    <row r="176" spans="7:8">
      <c r="G176" t="s">
        <v>157</v>
      </c>
      <c r="H176" t="s">
        <v>683</v>
      </c>
    </row>
    <row r="177" spans="7:8">
      <c r="G177" t="s">
        <v>68</v>
      </c>
      <c r="H177" t="s">
        <v>684</v>
      </c>
    </row>
    <row r="178" spans="7:8">
      <c r="G178" t="s">
        <v>156</v>
      </c>
      <c r="H178" t="s">
        <v>685</v>
      </c>
    </row>
    <row r="179" spans="7:8">
      <c r="G179" t="s">
        <v>67</v>
      </c>
      <c r="H179" t="s">
        <v>686</v>
      </c>
    </row>
    <row r="180" spans="7:8">
      <c r="G180" t="s">
        <v>155</v>
      </c>
      <c r="H180" t="s">
        <v>687</v>
      </c>
    </row>
    <row r="181" spans="7:8">
      <c r="G181" t="s">
        <v>66</v>
      </c>
      <c r="H181" t="s">
        <v>688</v>
      </c>
    </row>
    <row r="182" spans="7:8">
      <c r="G182" t="s">
        <v>154</v>
      </c>
      <c r="H182" t="s">
        <v>689</v>
      </c>
    </row>
    <row r="183" spans="7:8">
      <c r="G183" t="s">
        <v>65</v>
      </c>
      <c r="H183" t="s">
        <v>690</v>
      </c>
    </row>
    <row r="184" spans="7:8">
      <c r="G184" t="s">
        <v>153</v>
      </c>
      <c r="H184" t="s">
        <v>691</v>
      </c>
    </row>
    <row r="185" spans="7:8">
      <c r="G185" t="s">
        <v>244</v>
      </c>
      <c r="H185" t="s">
        <v>692</v>
      </c>
    </row>
    <row r="186" spans="7:8">
      <c r="G186" t="s">
        <v>64</v>
      </c>
      <c r="H186" t="s">
        <v>693</v>
      </c>
    </row>
    <row r="187" spans="7:8">
      <c r="G187" t="s">
        <v>152</v>
      </c>
      <c r="H187" t="s">
        <v>694</v>
      </c>
    </row>
    <row r="188" spans="7:8">
      <c r="G188" t="s">
        <v>243</v>
      </c>
      <c r="H188" t="s">
        <v>695</v>
      </c>
    </row>
    <row r="189" spans="7:8">
      <c r="G189" t="s">
        <v>63</v>
      </c>
      <c r="H189" t="s">
        <v>696</v>
      </c>
    </row>
    <row r="190" spans="7:8">
      <c r="G190" t="s">
        <v>151</v>
      </c>
      <c r="H190" t="s">
        <v>697</v>
      </c>
    </row>
    <row r="191" spans="7:8">
      <c r="G191" t="s">
        <v>242</v>
      </c>
      <c r="H191" t="s">
        <v>698</v>
      </c>
    </row>
    <row r="192" spans="7:8">
      <c r="G192" t="s">
        <v>38</v>
      </c>
      <c r="H192" t="s">
        <v>699</v>
      </c>
    </row>
    <row r="193" spans="7:8">
      <c r="G193" t="s">
        <v>126</v>
      </c>
      <c r="H193" t="s">
        <v>700</v>
      </c>
    </row>
    <row r="194" spans="7:8">
      <c r="G194" t="s">
        <v>241</v>
      </c>
      <c r="H194" t="s">
        <v>701</v>
      </c>
    </row>
    <row r="195" spans="7:8">
      <c r="G195" t="s">
        <v>240</v>
      </c>
      <c r="H195" t="s">
        <v>702</v>
      </c>
    </row>
    <row r="196" spans="7:8">
      <c r="G196" t="s">
        <v>6</v>
      </c>
      <c r="H196" t="s">
        <v>703</v>
      </c>
    </row>
    <row r="197" spans="7:8">
      <c r="G197" t="s">
        <v>94</v>
      </c>
      <c r="H197" t="s">
        <v>704</v>
      </c>
    </row>
    <row r="198" spans="7:8">
      <c r="G198" t="s">
        <v>7</v>
      </c>
      <c r="H198" t="s">
        <v>705</v>
      </c>
    </row>
    <row r="199" spans="7:8">
      <c r="G199" t="s">
        <v>95</v>
      </c>
      <c r="H199" t="s">
        <v>706</v>
      </c>
    </row>
    <row r="200" spans="7:8">
      <c r="G200" t="s">
        <v>239</v>
      </c>
      <c r="H200" t="s">
        <v>707</v>
      </c>
    </row>
    <row r="201" spans="7:8">
      <c r="G201" t="s">
        <v>238</v>
      </c>
      <c r="H201" t="s">
        <v>708</v>
      </c>
    </row>
    <row r="202" spans="7:8">
      <c r="G202" t="s">
        <v>60</v>
      </c>
      <c r="H202" t="s">
        <v>709</v>
      </c>
    </row>
    <row r="203" spans="7:8">
      <c r="G203" t="s">
        <v>148</v>
      </c>
      <c r="H203" t="s">
        <v>710</v>
      </c>
    </row>
    <row r="204" spans="7:8">
      <c r="G204" t="s">
        <v>435</v>
      </c>
      <c r="H204" t="s">
        <v>711</v>
      </c>
    </row>
    <row r="205" spans="7:8">
      <c r="G205" t="s">
        <v>440</v>
      </c>
      <c r="H205" t="s">
        <v>712</v>
      </c>
    </row>
    <row r="206" spans="7:8">
      <c r="G206" t="s">
        <v>436</v>
      </c>
      <c r="H206" t="s">
        <v>713</v>
      </c>
    </row>
    <row r="207" spans="7:8">
      <c r="G207" t="s">
        <v>441</v>
      </c>
      <c r="H207" t="s">
        <v>714</v>
      </c>
    </row>
    <row r="208" spans="7:8">
      <c r="G208" t="s">
        <v>442</v>
      </c>
      <c r="H208" t="s">
        <v>715</v>
      </c>
    </row>
    <row r="209" spans="7:8">
      <c r="G209" t="s">
        <v>443</v>
      </c>
      <c r="H209" t="s">
        <v>716</v>
      </c>
    </row>
    <row r="210" spans="7:8">
      <c r="G210" t="s">
        <v>444</v>
      </c>
      <c r="H210" t="s">
        <v>717</v>
      </c>
    </row>
    <row r="211" spans="7:8">
      <c r="G211" t="s">
        <v>437</v>
      </c>
      <c r="H211" t="s">
        <v>718</v>
      </c>
    </row>
    <row r="212" spans="7:8">
      <c r="G212" t="s">
        <v>445</v>
      </c>
      <c r="H212" t="s">
        <v>719</v>
      </c>
    </row>
    <row r="213" spans="7:8">
      <c r="G213" t="s">
        <v>446</v>
      </c>
      <c r="H213" t="s">
        <v>720</v>
      </c>
    </row>
    <row r="214" spans="7:8">
      <c r="G214" t="s">
        <v>447</v>
      </c>
      <c r="H214" t="s">
        <v>721</v>
      </c>
    </row>
    <row r="215" spans="7:8">
      <c r="G215" t="s">
        <v>448</v>
      </c>
      <c r="H215" t="s">
        <v>722</v>
      </c>
    </row>
    <row r="216" spans="7:8">
      <c r="G216" t="s">
        <v>450</v>
      </c>
      <c r="H216" t="s">
        <v>723</v>
      </c>
    </row>
    <row r="217" spans="7:8">
      <c r="G217" t="s">
        <v>452</v>
      </c>
      <c r="H217" t="s">
        <v>724</v>
      </c>
    </row>
    <row r="218" spans="7:8">
      <c r="G218" t="s">
        <v>438</v>
      </c>
      <c r="H218" t="s">
        <v>725</v>
      </c>
    </row>
    <row r="219" spans="7:8">
      <c r="G219" t="s">
        <v>454</v>
      </c>
      <c r="H219" t="s">
        <v>726</v>
      </c>
    </row>
    <row r="220" spans="7:8">
      <c r="G220" t="s">
        <v>455</v>
      </c>
      <c r="H220" t="s">
        <v>727</v>
      </c>
    </row>
    <row r="221" spans="7:8">
      <c r="G221" t="s">
        <v>59</v>
      </c>
      <c r="H221" t="s">
        <v>728</v>
      </c>
    </row>
    <row r="222" spans="7:8">
      <c r="G222" t="s">
        <v>147</v>
      </c>
      <c r="H222" t="s">
        <v>729</v>
      </c>
    </row>
    <row r="223" spans="7:8">
      <c r="G223" t="s">
        <v>58</v>
      </c>
      <c r="H223" t="s">
        <v>730</v>
      </c>
    </row>
    <row r="224" spans="7:8">
      <c r="G224" t="s">
        <v>146</v>
      </c>
      <c r="H224" t="s">
        <v>731</v>
      </c>
    </row>
    <row r="225" spans="7:8">
      <c r="G225" t="s">
        <v>434</v>
      </c>
      <c r="H225" t="s">
        <v>732</v>
      </c>
    </row>
    <row r="226" spans="7:8">
      <c r="G226" t="s">
        <v>237</v>
      </c>
      <c r="H226" t="s">
        <v>733</v>
      </c>
    </row>
    <row r="227" spans="7:8">
      <c r="G227" t="s">
        <v>54</v>
      </c>
      <c r="H227" t="s">
        <v>734</v>
      </c>
    </row>
    <row r="228" spans="7:8">
      <c r="G228" t="s">
        <v>142</v>
      </c>
      <c r="H228" t="s">
        <v>735</v>
      </c>
    </row>
    <row r="229" spans="7:8">
      <c r="G229" t="s">
        <v>52</v>
      </c>
      <c r="H229" t="s">
        <v>736</v>
      </c>
    </row>
    <row r="230" spans="7:8">
      <c r="G230" t="s">
        <v>140</v>
      </c>
      <c r="H230" t="s">
        <v>737</v>
      </c>
    </row>
    <row r="231" spans="7:8">
      <c r="G231" t="s">
        <v>236</v>
      </c>
      <c r="H231" t="s">
        <v>738</v>
      </c>
    </row>
    <row r="232" spans="7:8">
      <c r="G232" t="s">
        <v>235</v>
      </c>
      <c r="H232" t="s">
        <v>739</v>
      </c>
    </row>
    <row r="233" spans="7:8">
      <c r="G233" t="s">
        <v>234</v>
      </c>
      <c r="H233" t="s">
        <v>740</v>
      </c>
    </row>
    <row r="234" spans="7:8">
      <c r="G234" t="s">
        <v>50</v>
      </c>
      <c r="H234" t="s">
        <v>741</v>
      </c>
    </row>
    <row r="235" spans="7:8">
      <c r="G235" t="s">
        <v>138</v>
      </c>
      <c r="H235" t="s">
        <v>742</v>
      </c>
    </row>
    <row r="236" spans="7:8">
      <c r="G236" t="s">
        <v>233</v>
      </c>
      <c r="H236" t="s">
        <v>743</v>
      </c>
    </row>
    <row r="237" spans="7:8">
      <c r="G237" t="s">
        <v>460</v>
      </c>
      <c r="H237" t="s">
        <v>744</v>
      </c>
    </row>
    <row r="238" spans="7:8">
      <c r="G238" t="s">
        <v>465</v>
      </c>
      <c r="H238" t="s">
        <v>745</v>
      </c>
    </row>
    <row r="239" spans="7:8">
      <c r="G239" t="s">
        <v>462</v>
      </c>
      <c r="H239" t="s">
        <v>746</v>
      </c>
    </row>
    <row r="240" spans="7:8">
      <c r="G240" t="s">
        <v>467</v>
      </c>
      <c r="H240" t="s">
        <v>747</v>
      </c>
    </row>
    <row r="241" spans="7:8">
      <c r="G241" t="s">
        <v>232</v>
      </c>
      <c r="H241" t="s">
        <v>748</v>
      </c>
    </row>
    <row r="242" spans="7:8">
      <c r="G242" t="s">
        <v>231</v>
      </c>
      <c r="H242" t="s">
        <v>749</v>
      </c>
    </row>
    <row r="243" spans="7:8">
      <c r="G243" t="s">
        <v>86</v>
      </c>
      <c r="H243" t="s">
        <v>750</v>
      </c>
    </row>
    <row r="244" spans="7:8">
      <c r="G244" t="s">
        <v>175</v>
      </c>
      <c r="H244" t="s">
        <v>751</v>
      </c>
    </row>
    <row r="245" spans="7:8">
      <c r="G245" t="s">
        <v>82</v>
      </c>
      <c r="H245" t="s">
        <v>752</v>
      </c>
    </row>
    <row r="246" spans="7:8">
      <c r="G246" t="s">
        <v>171</v>
      </c>
      <c r="H246" t="s">
        <v>753</v>
      </c>
    </row>
    <row r="247" spans="7:8">
      <c r="G247" t="s">
        <v>27</v>
      </c>
      <c r="H247" t="s">
        <v>754</v>
      </c>
    </row>
    <row r="248" spans="7:8">
      <c r="G248" t="s">
        <v>115</v>
      </c>
      <c r="H248" t="s">
        <v>755</v>
      </c>
    </row>
    <row r="249" spans="7:8">
      <c r="G249" t="s">
        <v>61</v>
      </c>
      <c r="H249" t="s">
        <v>756</v>
      </c>
    </row>
    <row r="250" spans="7:8">
      <c r="G250" t="s">
        <v>149</v>
      </c>
      <c r="H250" t="s">
        <v>757</v>
      </c>
    </row>
    <row r="251" spans="7:8">
      <c r="G251" t="s">
        <v>25</v>
      </c>
      <c r="H251" t="s">
        <v>758</v>
      </c>
    </row>
    <row r="252" spans="7:8">
      <c r="G252" t="s">
        <v>113</v>
      </c>
      <c r="H252" t="s">
        <v>759</v>
      </c>
    </row>
    <row r="253" spans="7:8">
      <c r="G253" t="s">
        <v>24</v>
      </c>
      <c r="H253" t="s">
        <v>760</v>
      </c>
    </row>
    <row r="254" spans="7:8">
      <c r="G254" t="s">
        <v>112</v>
      </c>
      <c r="H254" t="s">
        <v>761</v>
      </c>
    </row>
    <row r="255" spans="7:8">
      <c r="G255" t="s">
        <v>230</v>
      </c>
      <c r="H255" t="s">
        <v>762</v>
      </c>
    </row>
    <row r="256" spans="7:8">
      <c r="G256" t="s">
        <v>53</v>
      </c>
      <c r="H256" t="s">
        <v>763</v>
      </c>
    </row>
    <row r="257" spans="7:8">
      <c r="G257" t="s">
        <v>141</v>
      </c>
      <c r="H257" t="s">
        <v>764</v>
      </c>
    </row>
    <row r="258" spans="7:8">
      <c r="G258" t="s">
        <v>229</v>
      </c>
      <c r="H258" t="s">
        <v>765</v>
      </c>
    </row>
    <row r="259" spans="7:8">
      <c r="G259" t="s">
        <v>228</v>
      </c>
      <c r="H259" t="s">
        <v>766</v>
      </c>
    </row>
    <row r="260" spans="7:8">
      <c r="G260" t="s">
        <v>49</v>
      </c>
      <c r="H260" t="s">
        <v>767</v>
      </c>
    </row>
    <row r="261" spans="7:8">
      <c r="G261" t="s">
        <v>137</v>
      </c>
      <c r="H261" t="s">
        <v>768</v>
      </c>
    </row>
    <row r="262" spans="7:8">
      <c r="G262" t="s">
        <v>227</v>
      </c>
      <c r="H262" t="s">
        <v>769</v>
      </c>
    </row>
    <row r="263" spans="7:8">
      <c r="G263" t="s">
        <v>46</v>
      </c>
      <c r="H263" t="s">
        <v>770</v>
      </c>
    </row>
    <row r="264" spans="7:8">
      <c r="G264" t="s">
        <v>134</v>
      </c>
      <c r="H264" t="s">
        <v>771</v>
      </c>
    </row>
    <row r="265" spans="7:8">
      <c r="G265" t="s">
        <v>37</v>
      </c>
      <c r="H265" t="s">
        <v>494</v>
      </c>
    </row>
    <row r="266" spans="7:8">
      <c r="G266" t="s">
        <v>125</v>
      </c>
      <c r="H266" t="s">
        <v>772</v>
      </c>
    </row>
    <row r="267" spans="7:8">
      <c r="G267" t="s">
        <v>226</v>
      </c>
      <c r="H267" t="s">
        <v>773</v>
      </c>
    </row>
    <row r="268" spans="7:8">
      <c r="G268" t="s">
        <v>225</v>
      </c>
      <c r="H268" t="s">
        <v>774</v>
      </c>
    </row>
    <row r="269" spans="7:8">
      <c r="G269" t="s">
        <v>44</v>
      </c>
      <c r="H269" t="s">
        <v>775</v>
      </c>
    </row>
    <row r="270" spans="7:8">
      <c r="G270" t="s">
        <v>132</v>
      </c>
      <c r="H270" t="s">
        <v>776</v>
      </c>
    </row>
    <row r="271" spans="7:8">
      <c r="G271" t="s">
        <v>224</v>
      </c>
      <c r="H271" t="s">
        <v>777</v>
      </c>
    </row>
    <row r="272" spans="7:8">
      <c r="G272" t="s">
        <v>223</v>
      </c>
      <c r="H272" t="s">
        <v>778</v>
      </c>
    </row>
    <row r="273" spans="7:8">
      <c r="G273" t="s">
        <v>222</v>
      </c>
      <c r="H273" t="s">
        <v>779</v>
      </c>
    </row>
    <row r="274" spans="7:8">
      <c r="G274" t="s">
        <v>221</v>
      </c>
      <c r="H274" t="s">
        <v>780</v>
      </c>
    </row>
    <row r="275" spans="7:8">
      <c r="G275" t="s">
        <v>220</v>
      </c>
      <c r="H275" t="s">
        <v>781</v>
      </c>
    </row>
    <row r="276" spans="7:8">
      <c r="G276" t="s">
        <v>219</v>
      </c>
      <c r="H276" t="s">
        <v>782</v>
      </c>
    </row>
    <row r="277" spans="7:8">
      <c r="G277" t="s">
        <v>218</v>
      </c>
      <c r="H277" t="s">
        <v>783</v>
      </c>
    </row>
    <row r="278" spans="7:8">
      <c r="G278" t="s">
        <v>217</v>
      </c>
      <c r="H278" t="s">
        <v>784</v>
      </c>
    </row>
    <row r="279" spans="7:8">
      <c r="G279" t="s">
        <v>216</v>
      </c>
      <c r="H279" t="s">
        <v>785</v>
      </c>
    </row>
    <row r="280" spans="7:8">
      <c r="G280" t="s">
        <v>215</v>
      </c>
      <c r="H280" t="s">
        <v>786</v>
      </c>
    </row>
    <row r="281" spans="7:8">
      <c r="G281" t="s">
        <v>214</v>
      </c>
      <c r="H281" t="s">
        <v>787</v>
      </c>
    </row>
    <row r="282" spans="7:8">
      <c r="G282" t="s">
        <v>0</v>
      </c>
      <c r="H282" t="s">
        <v>788</v>
      </c>
    </row>
    <row r="283" spans="7:8">
      <c r="G283" t="s">
        <v>88</v>
      </c>
      <c r="H283" t="s">
        <v>789</v>
      </c>
    </row>
    <row r="284" spans="7:8">
      <c r="G284" t="s">
        <v>213</v>
      </c>
      <c r="H284" t="s">
        <v>790</v>
      </c>
    </row>
    <row r="285" spans="7:8">
      <c r="G285" t="s">
        <v>212</v>
      </c>
      <c r="H285" t="s">
        <v>791</v>
      </c>
    </row>
    <row r="286" spans="7:8">
      <c r="G286" t="s">
        <v>87</v>
      </c>
      <c r="H286" t="s">
        <v>792</v>
      </c>
    </row>
    <row r="287" spans="7:8">
      <c r="G287" t="s">
        <v>176</v>
      </c>
      <c r="H287" t="s">
        <v>793</v>
      </c>
    </row>
    <row r="288" spans="7:8">
      <c r="G288" t="s">
        <v>83</v>
      </c>
      <c r="H288" t="s">
        <v>794</v>
      </c>
    </row>
    <row r="289" spans="7:8">
      <c r="G289" t="s">
        <v>172</v>
      </c>
      <c r="H289" t="s">
        <v>795</v>
      </c>
    </row>
    <row r="290" spans="7:8">
      <c r="G290" t="s">
        <v>74</v>
      </c>
      <c r="H290" t="s">
        <v>796</v>
      </c>
    </row>
    <row r="291" spans="7:8">
      <c r="G291" t="s">
        <v>162</v>
      </c>
      <c r="H291" t="s">
        <v>797</v>
      </c>
    </row>
    <row r="292" spans="7:8">
      <c r="G292" t="s">
        <v>28</v>
      </c>
      <c r="H292" t="s">
        <v>798</v>
      </c>
    </row>
    <row r="293" spans="7:8">
      <c r="G293" t="s">
        <v>116</v>
      </c>
      <c r="H293" t="s">
        <v>799</v>
      </c>
    </row>
    <row r="294" spans="7:8">
      <c r="G294" t="s">
        <v>26</v>
      </c>
      <c r="H294" t="s">
        <v>800</v>
      </c>
    </row>
    <row r="295" spans="7:8">
      <c r="G295" t="s">
        <v>114</v>
      </c>
      <c r="H295" t="s">
        <v>801</v>
      </c>
    </row>
    <row r="296" spans="7:8">
      <c r="G296" t="s">
        <v>48</v>
      </c>
      <c r="H296" t="s">
        <v>802</v>
      </c>
    </row>
    <row r="297" spans="7:8">
      <c r="G297" t="s">
        <v>136</v>
      </c>
      <c r="H297" t="s">
        <v>803</v>
      </c>
    </row>
    <row r="298" spans="7:8">
      <c r="G298" t="s">
        <v>36</v>
      </c>
      <c r="H298" t="s">
        <v>804</v>
      </c>
    </row>
    <row r="299" spans="7:8">
      <c r="G299" t="s">
        <v>124</v>
      </c>
      <c r="H299" t="s">
        <v>805</v>
      </c>
    </row>
    <row r="300" spans="7:8">
      <c r="G300" t="s">
        <v>2</v>
      </c>
      <c r="H300" t="s">
        <v>806</v>
      </c>
    </row>
    <row r="301" spans="7:8">
      <c r="G301" t="s">
        <v>90</v>
      </c>
      <c r="H301" t="s">
        <v>807</v>
      </c>
    </row>
    <row r="302" spans="7:8">
      <c r="G302" t="s">
        <v>47</v>
      </c>
      <c r="H302" t="s">
        <v>808</v>
      </c>
    </row>
    <row r="303" spans="7:8">
      <c r="G303" t="s">
        <v>135</v>
      </c>
      <c r="H303" t="s">
        <v>809</v>
      </c>
    </row>
    <row r="304" spans="7:8">
      <c r="G304" t="s">
        <v>42</v>
      </c>
      <c r="H304" t="s">
        <v>810</v>
      </c>
    </row>
    <row r="305" spans="7:8">
      <c r="G305" t="s">
        <v>130</v>
      </c>
      <c r="H305" t="s">
        <v>811</v>
      </c>
    </row>
    <row r="306" spans="7:8">
      <c r="G306" t="s">
        <v>211</v>
      </c>
      <c r="H306" t="s">
        <v>812</v>
      </c>
    </row>
    <row r="307" spans="7:8">
      <c r="G307" t="s">
        <v>210</v>
      </c>
      <c r="H307" t="s">
        <v>813</v>
      </c>
    </row>
    <row r="308" spans="7:8">
      <c r="G308" t="s">
        <v>209</v>
      </c>
      <c r="H308" t="s">
        <v>814</v>
      </c>
    </row>
    <row r="309" spans="7:8">
      <c r="G309" t="s">
        <v>208</v>
      </c>
      <c r="H309" t="s">
        <v>815</v>
      </c>
    </row>
    <row r="310" spans="7:8">
      <c r="G310" t="s">
        <v>41</v>
      </c>
      <c r="H310" t="s">
        <v>816</v>
      </c>
    </row>
    <row r="311" spans="7:8">
      <c r="G311" t="s">
        <v>129</v>
      </c>
      <c r="H311" t="s">
        <v>817</v>
      </c>
    </row>
    <row r="312" spans="7:8">
      <c r="G312" t="s">
        <v>207</v>
      </c>
      <c r="H312" t="s">
        <v>818</v>
      </c>
    </row>
    <row r="313" spans="7:8">
      <c r="G313" t="s">
        <v>39</v>
      </c>
      <c r="H313" t="s">
        <v>819</v>
      </c>
    </row>
    <row r="314" spans="7:8">
      <c r="G314" t="s">
        <v>127</v>
      </c>
      <c r="H314" t="s">
        <v>820</v>
      </c>
    </row>
    <row r="315" spans="7:8">
      <c r="G315" t="s">
        <v>206</v>
      </c>
      <c r="H315" t="s">
        <v>821</v>
      </c>
    </row>
    <row r="316" spans="7:8">
      <c r="G316" t="s">
        <v>35</v>
      </c>
      <c r="H316" t="s">
        <v>822</v>
      </c>
    </row>
    <row r="317" spans="7:8">
      <c r="G317" t="s">
        <v>123</v>
      </c>
      <c r="H317" t="s">
        <v>823</v>
      </c>
    </row>
    <row r="318" spans="7:8">
      <c r="G318" t="s">
        <v>205</v>
      </c>
      <c r="H318" t="s">
        <v>824</v>
      </c>
    </row>
    <row r="319" spans="7:8">
      <c r="G319" t="s">
        <v>79</v>
      </c>
      <c r="H319" t="s">
        <v>825</v>
      </c>
    </row>
    <row r="320" spans="7:8">
      <c r="G320" t="s">
        <v>167</v>
      </c>
      <c r="H320" t="s">
        <v>826</v>
      </c>
    </row>
    <row r="321" spans="7:8">
      <c r="G321" t="s">
        <v>78</v>
      </c>
      <c r="H321" t="s">
        <v>827</v>
      </c>
    </row>
    <row r="322" spans="7:8">
      <c r="G322" t="s">
        <v>166</v>
      </c>
      <c r="H322" t="s">
        <v>828</v>
      </c>
    </row>
    <row r="323" spans="7:8">
      <c r="G323" t="s">
        <v>45</v>
      </c>
      <c r="H323" t="s">
        <v>829</v>
      </c>
    </row>
    <row r="324" spans="7:8">
      <c r="G324" t="s">
        <v>133</v>
      </c>
      <c r="H324" t="s">
        <v>830</v>
      </c>
    </row>
    <row r="325" spans="7:8">
      <c r="G325" t="s">
        <v>40</v>
      </c>
      <c r="H325" t="s">
        <v>831</v>
      </c>
    </row>
    <row r="326" spans="7:8">
      <c r="G326" t="s">
        <v>128</v>
      </c>
      <c r="H326" t="s">
        <v>832</v>
      </c>
    </row>
    <row r="327" spans="7:8">
      <c r="G327" t="s">
        <v>21</v>
      </c>
      <c r="H327" t="s">
        <v>833</v>
      </c>
    </row>
    <row r="328" spans="7:8">
      <c r="G328" t="s">
        <v>109</v>
      </c>
      <c r="H328" t="s">
        <v>834</v>
      </c>
    </row>
    <row r="329" spans="7:8">
      <c r="G329" t="s">
        <v>20</v>
      </c>
      <c r="H329" t="s">
        <v>835</v>
      </c>
    </row>
    <row r="330" spans="7:8">
      <c r="G330" t="s">
        <v>108</v>
      </c>
      <c r="H330" t="s">
        <v>836</v>
      </c>
    </row>
    <row r="331" spans="7:8">
      <c r="G331" t="s">
        <v>17</v>
      </c>
      <c r="H331" t="s">
        <v>837</v>
      </c>
    </row>
    <row r="332" spans="7:8">
      <c r="G332" t="s">
        <v>105</v>
      </c>
      <c r="H332" t="s">
        <v>838</v>
      </c>
    </row>
    <row r="333" spans="7:8">
      <c r="G333" t="s">
        <v>16</v>
      </c>
      <c r="H333" t="s">
        <v>839</v>
      </c>
    </row>
    <row r="334" spans="7:8">
      <c r="G334" t="s">
        <v>104</v>
      </c>
      <c r="H334" t="s">
        <v>840</v>
      </c>
    </row>
    <row r="335" spans="7:8">
      <c r="G335" t="s">
        <v>14</v>
      </c>
      <c r="H335" t="s">
        <v>841</v>
      </c>
    </row>
    <row r="336" spans="7:8">
      <c r="G336" t="s">
        <v>102</v>
      </c>
      <c r="H336" t="s">
        <v>842</v>
      </c>
    </row>
    <row r="337" spans="7:8">
      <c r="G337" t="s">
        <v>204</v>
      </c>
      <c r="H337" t="s">
        <v>843</v>
      </c>
    </row>
    <row r="338" spans="7:8">
      <c r="G338" t="s">
        <v>203</v>
      </c>
      <c r="H338" t="s">
        <v>844</v>
      </c>
    </row>
    <row r="339" spans="7:8">
      <c r="G339" t="s">
        <v>202</v>
      </c>
      <c r="H339" t="s">
        <v>845</v>
      </c>
    </row>
    <row r="340" spans="7:8">
      <c r="G340" t="s">
        <v>201</v>
      </c>
      <c r="H340" t="s">
        <v>846</v>
      </c>
    </row>
    <row r="341" spans="7:8">
      <c r="G341" t="s">
        <v>200</v>
      </c>
      <c r="H341" t="s">
        <v>847</v>
      </c>
    </row>
    <row r="342" spans="7:8">
      <c r="G342" t="s">
        <v>33</v>
      </c>
      <c r="H342" t="s">
        <v>848</v>
      </c>
    </row>
    <row r="343" spans="7:8">
      <c r="G343" t="s">
        <v>121</v>
      </c>
      <c r="H343" t="s">
        <v>849</v>
      </c>
    </row>
    <row r="344" spans="7:8">
      <c r="G344" t="s">
        <v>199</v>
      </c>
      <c r="H344" t="s">
        <v>850</v>
      </c>
    </row>
    <row r="345" spans="7:8">
      <c r="G345" t="s">
        <v>30</v>
      </c>
      <c r="H345" t="s">
        <v>851</v>
      </c>
    </row>
    <row r="346" spans="7:8">
      <c r="G346" t="s">
        <v>118</v>
      </c>
      <c r="H346" t="s">
        <v>852</v>
      </c>
    </row>
    <row r="347" spans="7:8">
      <c r="G347" t="s">
        <v>198</v>
      </c>
      <c r="H347" t="s">
        <v>853</v>
      </c>
    </row>
    <row r="348" spans="7:8">
      <c r="G348" t="s">
        <v>197</v>
      </c>
      <c r="H348" t="s">
        <v>854</v>
      </c>
    </row>
    <row r="349" spans="7:8">
      <c r="G349" t="s">
        <v>32</v>
      </c>
      <c r="H349" t="s">
        <v>855</v>
      </c>
    </row>
    <row r="350" spans="7:8">
      <c r="G350" t="s">
        <v>120</v>
      </c>
      <c r="H350" t="s">
        <v>856</v>
      </c>
    </row>
    <row r="351" spans="7:8">
      <c r="G351" t="s">
        <v>31</v>
      </c>
      <c r="H351" t="s">
        <v>857</v>
      </c>
    </row>
    <row r="352" spans="7:8">
      <c r="G352" t="s">
        <v>119</v>
      </c>
      <c r="H352" t="s">
        <v>858</v>
      </c>
    </row>
    <row r="353" spans="7:8">
      <c r="G353" t="s">
        <v>62</v>
      </c>
      <c r="H353" t="s">
        <v>859</v>
      </c>
    </row>
    <row r="354" spans="7:8">
      <c r="G354" t="s">
        <v>150</v>
      </c>
      <c r="H354" t="s">
        <v>860</v>
      </c>
    </row>
    <row r="355" spans="7:8">
      <c r="G355" t="s">
        <v>57</v>
      </c>
      <c r="H355" t="s">
        <v>861</v>
      </c>
    </row>
    <row r="356" spans="7:8">
      <c r="G356" t="s">
        <v>145</v>
      </c>
      <c r="H356" t="s">
        <v>862</v>
      </c>
    </row>
    <row r="357" spans="7:8">
      <c r="G357" t="s">
        <v>457</v>
      </c>
      <c r="H357" t="s">
        <v>863</v>
      </c>
    </row>
    <row r="358" spans="7:8">
      <c r="G358" t="s">
        <v>196</v>
      </c>
      <c r="H358" t="s">
        <v>864</v>
      </c>
    </row>
    <row r="359" spans="7:8">
      <c r="G359" t="s">
        <v>195</v>
      </c>
      <c r="H359" t="s">
        <v>865</v>
      </c>
    </row>
    <row r="360" spans="7:8">
      <c r="G360" t="s">
        <v>194</v>
      </c>
      <c r="H360" t="s">
        <v>866</v>
      </c>
    </row>
    <row r="361" spans="7:8">
      <c r="G361" t="s">
        <v>193</v>
      </c>
      <c r="H361" t="s">
        <v>867</v>
      </c>
    </row>
    <row r="362" spans="7:8">
      <c r="G362" t="s">
        <v>8</v>
      </c>
      <c r="H362" t="s">
        <v>868</v>
      </c>
    </row>
    <row r="363" spans="7:8">
      <c r="G363" t="s">
        <v>96</v>
      </c>
      <c r="H363" t="s">
        <v>869</v>
      </c>
    </row>
    <row r="364" spans="7:8">
      <c r="G364" t="s">
        <v>192</v>
      </c>
      <c r="H364" t="s">
        <v>870</v>
      </c>
    </row>
    <row r="365" spans="7:8">
      <c r="G365" t="s">
        <v>191</v>
      </c>
      <c r="H365" t="s">
        <v>871</v>
      </c>
    </row>
    <row r="366" spans="7:8">
      <c r="G366" t="s">
        <v>29</v>
      </c>
      <c r="H366" t="s">
        <v>872</v>
      </c>
    </row>
    <row r="367" spans="7:8">
      <c r="G367" t="s">
        <v>117</v>
      </c>
      <c r="H367" t="s">
        <v>873</v>
      </c>
    </row>
    <row r="368" spans="7:8">
      <c r="G368" t="s">
        <v>190</v>
      </c>
      <c r="H368" t="s">
        <v>874</v>
      </c>
    </row>
    <row r="369" spans="7:8">
      <c r="G369" t="s">
        <v>189</v>
      </c>
      <c r="H369" t="s">
        <v>875</v>
      </c>
    </row>
    <row r="370" spans="7:8">
      <c r="G370" t="s">
        <v>23</v>
      </c>
      <c r="H370" t="s">
        <v>876</v>
      </c>
    </row>
    <row r="371" spans="7:8">
      <c r="G371" t="s">
        <v>111</v>
      </c>
      <c r="H371" t="s">
        <v>877</v>
      </c>
    </row>
    <row r="372" spans="7:8">
      <c r="G372" t="s">
        <v>22</v>
      </c>
      <c r="H372" t="s">
        <v>878</v>
      </c>
    </row>
    <row r="373" spans="7:8">
      <c r="G373" t="s">
        <v>110</v>
      </c>
      <c r="H373" t="s">
        <v>879</v>
      </c>
    </row>
    <row r="374" spans="7:8">
      <c r="G374" t="s">
        <v>19</v>
      </c>
      <c r="H374" t="s">
        <v>880</v>
      </c>
    </row>
    <row r="375" spans="7:8">
      <c r="G375" t="s">
        <v>107</v>
      </c>
      <c r="H375" t="s">
        <v>881</v>
      </c>
    </row>
    <row r="376" spans="7:8">
      <c r="G376" t="s">
        <v>188</v>
      </c>
      <c r="H376" t="s">
        <v>882</v>
      </c>
    </row>
    <row r="377" spans="7:8">
      <c r="G377" t="s">
        <v>187</v>
      </c>
      <c r="H377" t="s">
        <v>883</v>
      </c>
    </row>
    <row r="378" spans="7:8">
      <c r="G378" t="s">
        <v>18</v>
      </c>
      <c r="H378" t="s">
        <v>884</v>
      </c>
    </row>
    <row r="379" spans="7:8">
      <c r="G379" t="s">
        <v>106</v>
      </c>
      <c r="H379" t="s">
        <v>885</v>
      </c>
    </row>
    <row r="380" spans="7:8">
      <c r="G380" t="s">
        <v>186</v>
      </c>
      <c r="H380" t="s">
        <v>886</v>
      </c>
    </row>
    <row r="381" spans="7:8">
      <c r="G381" t="s">
        <v>185</v>
      </c>
      <c r="H381" t="s">
        <v>887</v>
      </c>
    </row>
    <row r="382" spans="7:8">
      <c r="G382" t="s">
        <v>184</v>
      </c>
      <c r="H382" t="s">
        <v>888</v>
      </c>
    </row>
    <row r="383" spans="7:8">
      <c r="G383" t="s">
        <v>183</v>
      </c>
      <c r="H383" t="s">
        <v>889</v>
      </c>
    </row>
    <row r="384" spans="7:8">
      <c r="G384" t="s">
        <v>15</v>
      </c>
      <c r="H384" t="s">
        <v>890</v>
      </c>
    </row>
    <row r="385" spans="7:8">
      <c r="G385" t="s">
        <v>103</v>
      </c>
      <c r="H385" t="s">
        <v>891</v>
      </c>
    </row>
    <row r="386" spans="7:8">
      <c r="G386" t="s">
        <v>182</v>
      </c>
      <c r="H386" t="s">
        <v>892</v>
      </c>
    </row>
    <row r="387" spans="7:8">
      <c r="G387" t="s">
        <v>13</v>
      </c>
      <c r="H387" t="s">
        <v>893</v>
      </c>
    </row>
    <row r="388" spans="7:8">
      <c r="G388" t="s">
        <v>101</v>
      </c>
      <c r="H388" t="s">
        <v>894</v>
      </c>
    </row>
    <row r="389" spans="7:8">
      <c r="G389" t="s">
        <v>459</v>
      </c>
      <c r="H389" t="s">
        <v>895</v>
      </c>
    </row>
    <row r="390" spans="7:8">
      <c r="G390" t="s">
        <v>12</v>
      </c>
      <c r="H390" t="s">
        <v>896</v>
      </c>
    </row>
    <row r="391" spans="7:8">
      <c r="G391" t="s">
        <v>100</v>
      </c>
      <c r="H391" t="s">
        <v>897</v>
      </c>
    </row>
    <row r="392" spans="7:8">
      <c r="G392" t="s">
        <v>11</v>
      </c>
      <c r="H392" t="s">
        <v>898</v>
      </c>
    </row>
    <row r="393" spans="7:8">
      <c r="G393" t="s">
        <v>99</v>
      </c>
      <c r="H393" t="s">
        <v>899</v>
      </c>
    </row>
    <row r="394" spans="7:8">
      <c r="G394" t="s">
        <v>10</v>
      </c>
      <c r="H394" t="s">
        <v>900</v>
      </c>
    </row>
    <row r="395" spans="7:8">
      <c r="G395" t="s">
        <v>98</v>
      </c>
      <c r="H395" t="s">
        <v>901</v>
      </c>
    </row>
    <row r="396" spans="7:8">
      <c r="G396" t="s">
        <v>9</v>
      </c>
      <c r="H396" t="s">
        <v>902</v>
      </c>
    </row>
    <row r="397" spans="7:8">
      <c r="G397" t="s">
        <v>97</v>
      </c>
      <c r="H397" t="s">
        <v>903</v>
      </c>
    </row>
    <row r="398" spans="7:8">
      <c r="G398" t="s">
        <v>479</v>
      </c>
      <c r="H398" t="s">
        <v>904</v>
      </c>
    </row>
    <row r="399" spans="7:8">
      <c r="G399" t="s">
        <v>480</v>
      </c>
      <c r="H399" t="s">
        <v>905</v>
      </c>
    </row>
    <row r="400" spans="7:8">
      <c r="G400" t="s">
        <v>478</v>
      </c>
      <c r="H400" t="s">
        <v>906</v>
      </c>
    </row>
    <row r="401" spans="7:8">
      <c r="G401" t="s">
        <v>481</v>
      </c>
      <c r="H401" t="s">
        <v>907</v>
      </c>
    </row>
    <row r="402" spans="7:8">
      <c r="G402" t="s">
        <v>484</v>
      </c>
      <c r="H402" t="s">
        <v>908</v>
      </c>
    </row>
    <row r="403" spans="7:8">
      <c r="G403" t="s">
        <v>485</v>
      </c>
      <c r="H403" t="s">
        <v>909</v>
      </c>
    </row>
    <row r="404" spans="7:8">
      <c r="G404" t="s">
        <v>482</v>
      </c>
      <c r="H404" t="s">
        <v>910</v>
      </c>
    </row>
    <row r="405" spans="7:8">
      <c r="G405" t="s">
        <v>483</v>
      </c>
      <c r="H405" t="s">
        <v>911</v>
      </c>
    </row>
    <row r="406" spans="7:8">
      <c r="G406" t="s">
        <v>486</v>
      </c>
      <c r="H406" t="s">
        <v>912</v>
      </c>
    </row>
    <row r="407" spans="7:8">
      <c r="G407" t="s">
        <v>487</v>
      </c>
      <c r="H407" t="s">
        <v>913</v>
      </c>
    </row>
    <row r="408" spans="7:8">
      <c r="G408" t="s">
        <v>488</v>
      </c>
      <c r="H408" t="s">
        <v>914</v>
      </c>
    </row>
    <row r="409" spans="7:8">
      <c r="G409" t="s">
        <v>489</v>
      </c>
      <c r="H409" t="s">
        <v>915</v>
      </c>
    </row>
    <row r="410" spans="7:8">
      <c r="G410" t="s">
        <v>55</v>
      </c>
      <c r="H410" t="s">
        <v>916</v>
      </c>
    </row>
    <row r="411" spans="7:8">
      <c r="G411" t="s">
        <v>143</v>
      </c>
      <c r="H411" t="s">
        <v>917</v>
      </c>
    </row>
    <row r="412" spans="7:8">
      <c r="G412" t="s">
        <v>56</v>
      </c>
      <c r="H412" t="s">
        <v>916</v>
      </c>
    </row>
    <row r="413" spans="7:8">
      <c r="G413" t="s">
        <v>144</v>
      </c>
      <c r="H413" t="s">
        <v>917</v>
      </c>
    </row>
    <row r="414" spans="7:8">
      <c r="G414" t="s">
        <v>43</v>
      </c>
      <c r="H414" t="s">
        <v>918</v>
      </c>
    </row>
    <row r="415" spans="7:8">
      <c r="G415" t="s">
        <v>131</v>
      </c>
      <c r="H415" t="s">
        <v>919</v>
      </c>
    </row>
    <row r="416" spans="7:8">
      <c r="G416" t="s">
        <v>181</v>
      </c>
      <c r="H416" t="s">
        <v>920</v>
      </c>
    </row>
    <row r="417" spans="7:8">
      <c r="G417" t="s">
        <v>4</v>
      </c>
      <c r="H417" t="s">
        <v>921</v>
      </c>
    </row>
    <row r="418" spans="7:8">
      <c r="G418" t="s">
        <v>92</v>
      </c>
      <c r="H418" t="s">
        <v>922</v>
      </c>
    </row>
    <row r="419" spans="7:8">
      <c r="G419" t="s">
        <v>180</v>
      </c>
      <c r="H419" t="s">
        <v>923</v>
      </c>
    </row>
    <row r="420" spans="7:8">
      <c r="G420" t="s">
        <v>5</v>
      </c>
      <c r="H420" t="s">
        <v>924</v>
      </c>
    </row>
    <row r="421" spans="7:8">
      <c r="G421" t="s">
        <v>93</v>
      </c>
      <c r="H421" t="s">
        <v>925</v>
      </c>
    </row>
    <row r="422" spans="7:8">
      <c r="G422" t="s">
        <v>1</v>
      </c>
      <c r="H422" t="s">
        <v>926</v>
      </c>
    </row>
    <row r="423" spans="7:8">
      <c r="G423" t="s">
        <v>89</v>
      </c>
      <c r="H423" t="s">
        <v>927</v>
      </c>
    </row>
    <row r="424" spans="7:8">
      <c r="G424" t="s">
        <v>179</v>
      </c>
      <c r="H424" t="s">
        <v>928</v>
      </c>
    </row>
    <row r="425" spans="7:8">
      <c r="G425" t="s">
        <v>178</v>
      </c>
      <c r="H425" t="s">
        <v>501</v>
      </c>
    </row>
    <row r="426" spans="7:8">
      <c r="G426" t="s">
        <v>500</v>
      </c>
      <c r="H426" t="s">
        <v>501</v>
      </c>
    </row>
    <row r="427" spans="7:8">
      <c r="G427" t="s">
        <v>177</v>
      </c>
      <c r="H427" t="s">
        <v>929</v>
      </c>
    </row>
    <row r="428" spans="7:8">
      <c r="G428" t="s">
        <v>303</v>
      </c>
      <c r="H428" t="s">
        <v>615</v>
      </c>
    </row>
    <row r="429" spans="7:8">
      <c r="G429" t="s">
        <v>491</v>
      </c>
      <c r="H429" t="s">
        <v>491</v>
      </c>
    </row>
  </sheetData>
  <autoFilter ref="A2:B2" xr:uid="{2A774EB2-D080-42B2-821E-786B58B52901}"/>
  <conditionalFormatting sqref="A1:A2 A10:A1048576 A4:A5 A8">
    <cfRule type="containsText" dxfId="42" priority="38" operator="containsText" text="_cam_">
      <formula>NOT(ISERROR(SEARCH("_cam_",A1)))</formula>
    </cfRule>
  </conditionalFormatting>
  <conditionalFormatting sqref="B2:C2">
    <cfRule type="containsText" dxfId="41" priority="15" operator="containsText" text="_cam_">
      <formula>NOT(ISERROR(SEARCH("_cam_",B2)))</formula>
    </cfRule>
  </conditionalFormatting>
  <conditionalFormatting sqref="B4">
    <cfRule type="containsText" dxfId="40" priority="10" operator="containsText" text="_cam_">
      <formula>NOT(ISERROR(SEARCH("_cam_",B4)))</formula>
    </cfRule>
  </conditionalFormatting>
  <conditionalFormatting sqref="B18">
    <cfRule type="containsText" dxfId="39" priority="9" operator="containsText" text="_cam_">
      <formula>NOT(ISERROR(SEARCH("_cam_",B18)))</formula>
    </cfRule>
  </conditionalFormatting>
  <conditionalFormatting sqref="B4:B5">
    <cfRule type="containsText" dxfId="38" priority="8" operator="containsText" text="_cam_">
      <formula>NOT(ISERROR(SEARCH("_cam_",B4)))</formula>
    </cfRule>
  </conditionalFormatting>
  <conditionalFormatting sqref="B12">
    <cfRule type="containsText" dxfId="37" priority="7" operator="containsText" text="_cam_">
      <formula>NOT(ISERROR(SEARCH("_cam_",B12)))</formula>
    </cfRule>
  </conditionalFormatting>
  <conditionalFormatting sqref="B20">
    <cfRule type="containsText" dxfId="36" priority="6" operator="containsText" text="_cam_">
      <formula>NOT(ISERROR(SEARCH("_cam_",B20)))</formula>
    </cfRule>
  </conditionalFormatting>
  <conditionalFormatting sqref="B22">
    <cfRule type="containsText" dxfId="35" priority="5" operator="containsText" text="_cam_">
      <formula>NOT(ISERROR(SEARCH("_cam_",B22)))</formula>
    </cfRule>
  </conditionalFormatting>
  <conditionalFormatting sqref="B23">
    <cfRule type="containsText" dxfId="34" priority="4" operator="containsText" text="_cam_">
      <formula>NOT(ISERROR(SEARCH("_cam_",B23)))</formula>
    </cfRule>
  </conditionalFormatting>
  <conditionalFormatting sqref="B26">
    <cfRule type="containsText" dxfId="33" priority="3" operator="containsText" text="_cam_">
      <formula>NOT(ISERROR(SEARCH("_cam_",B26)))</formula>
    </cfRule>
  </conditionalFormatting>
  <conditionalFormatting sqref="B8">
    <cfRule type="containsText" dxfId="32" priority="1" operator="containsText" text="_cam_">
      <formula>NOT(ISERROR(SEARCH("_cam_",B8)))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B733-C8BC-4169-B3D6-21E95D35EA98}">
  <dimension ref="A1:D168"/>
  <sheetViews>
    <sheetView tabSelected="1" zoomScaleNormal="100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35" customWidth="1"/>
    <col min="5" max="5" width="17.625" customWidth="1"/>
  </cols>
  <sheetData>
    <row r="1" spans="1:4" ht="15">
      <c r="A1" s="13" t="s">
        <v>330</v>
      </c>
      <c r="B1" s="11" t="s">
        <v>282</v>
      </c>
      <c r="D1">
        <f>COUNTA(A:A)</f>
        <v>168</v>
      </c>
    </row>
    <row r="2" spans="1:4" ht="15">
      <c r="A2" s="13" t="s">
        <v>491</v>
      </c>
      <c r="B2" s="11" t="s">
        <v>491</v>
      </c>
    </row>
    <row r="3" spans="1:4">
      <c r="A3" s="27" t="s">
        <v>1440</v>
      </c>
      <c r="B3" s="15" t="s">
        <v>505</v>
      </c>
    </row>
    <row r="4" spans="1:4">
      <c r="A4" s="27" t="s">
        <v>1441</v>
      </c>
      <c r="B4" s="15" t="s">
        <v>507</v>
      </c>
    </row>
    <row r="5" spans="1:4">
      <c r="A5" s="27" t="s">
        <v>1442</v>
      </c>
      <c r="B5" s="15" t="s">
        <v>509</v>
      </c>
    </row>
    <row r="6" spans="1:4">
      <c r="A6" s="27" t="s">
        <v>1443</v>
      </c>
      <c r="B6" s="15" t="s">
        <v>511</v>
      </c>
    </row>
    <row r="7" spans="1:4">
      <c r="A7" s="27" t="s">
        <v>1444</v>
      </c>
      <c r="B7" s="15" t="s">
        <v>1451</v>
      </c>
    </row>
    <row r="8" spans="1:4">
      <c r="A8" s="27" t="s">
        <v>1445</v>
      </c>
      <c r="B8" s="15" t="s">
        <v>1452</v>
      </c>
    </row>
    <row r="9" spans="1:4">
      <c r="A9" s="27" t="s">
        <v>1446</v>
      </c>
      <c r="B9" s="15" t="s">
        <v>517</v>
      </c>
    </row>
    <row r="10" spans="1:4">
      <c r="A10" s="27" t="s">
        <v>1447</v>
      </c>
      <c r="B10" s="15" t="s">
        <v>518</v>
      </c>
    </row>
    <row r="11" spans="1:4">
      <c r="A11" s="27" t="s">
        <v>1448</v>
      </c>
      <c r="B11" s="15" t="s">
        <v>520</v>
      </c>
    </row>
    <row r="12" spans="1:4">
      <c r="A12" s="27" t="s">
        <v>1449</v>
      </c>
      <c r="B12" s="15" t="s">
        <v>1041</v>
      </c>
    </row>
    <row r="13" spans="1:4">
      <c r="A13" s="27" t="s">
        <v>1450</v>
      </c>
      <c r="B13" s="15" t="s">
        <v>1017</v>
      </c>
    </row>
    <row r="14" spans="1:4">
      <c r="A14" t="s">
        <v>1398</v>
      </c>
      <c r="B14" t="s">
        <v>1083</v>
      </c>
    </row>
    <row r="15" spans="1:4">
      <c r="A15" t="s">
        <v>1399</v>
      </c>
      <c r="B15" t="s">
        <v>1083</v>
      </c>
    </row>
    <row r="16" spans="1:4">
      <c r="A16" t="s">
        <v>1400</v>
      </c>
      <c r="B16" t="s">
        <v>1083</v>
      </c>
    </row>
    <row r="17" spans="1:2">
      <c r="A17" t="s">
        <v>1401</v>
      </c>
      <c r="B17" t="s">
        <v>1083</v>
      </c>
    </row>
    <row r="18" spans="1:2">
      <c r="A18" t="s">
        <v>1402</v>
      </c>
      <c r="B18" t="s">
        <v>1083</v>
      </c>
    </row>
    <row r="19" spans="1:2">
      <c r="A19" t="s">
        <v>1403</v>
      </c>
      <c r="B19" t="s">
        <v>1083</v>
      </c>
    </row>
    <row r="20" spans="1:2">
      <c r="A20" t="s">
        <v>1404</v>
      </c>
      <c r="B20" t="s">
        <v>1083</v>
      </c>
    </row>
    <row r="21" spans="1:2">
      <c r="A21" t="s">
        <v>1405</v>
      </c>
      <c r="B21" t="s">
        <v>1083</v>
      </c>
    </row>
    <row r="22" spans="1:2">
      <c r="A22" t="s">
        <v>1406</v>
      </c>
      <c r="B22" t="s">
        <v>1083</v>
      </c>
    </row>
    <row r="23" spans="1:2">
      <c r="A23" t="s">
        <v>1407</v>
      </c>
      <c r="B23" t="s">
        <v>1083</v>
      </c>
    </row>
    <row r="24" spans="1:2">
      <c r="A24" t="s">
        <v>1408</v>
      </c>
      <c r="B24" t="s">
        <v>1083</v>
      </c>
    </row>
    <row r="25" spans="1:2">
      <c r="A25" t="s">
        <v>1409</v>
      </c>
      <c r="B25" t="s">
        <v>1083</v>
      </c>
    </row>
    <row r="26" spans="1:2">
      <c r="A26" t="s">
        <v>1410</v>
      </c>
      <c r="B26" t="s">
        <v>1083</v>
      </c>
    </row>
    <row r="27" spans="1:2">
      <c r="A27" t="s">
        <v>1411</v>
      </c>
      <c r="B27" t="s">
        <v>1083</v>
      </c>
    </row>
    <row r="28" spans="1:2">
      <c r="A28" t="s">
        <v>1412</v>
      </c>
      <c r="B28" t="s">
        <v>1083</v>
      </c>
    </row>
    <row r="29" spans="1:2">
      <c r="A29" t="s">
        <v>1413</v>
      </c>
      <c r="B29" t="s">
        <v>1083</v>
      </c>
    </row>
    <row r="30" spans="1:2">
      <c r="A30" t="s">
        <v>1414</v>
      </c>
      <c r="B30" t="s">
        <v>1083</v>
      </c>
    </row>
    <row r="31" spans="1:2">
      <c r="A31" t="s">
        <v>1415</v>
      </c>
      <c r="B31" t="s">
        <v>1083</v>
      </c>
    </row>
    <row r="32" spans="1:2">
      <c r="A32" t="s">
        <v>1416</v>
      </c>
      <c r="B32" t="s">
        <v>1083</v>
      </c>
    </row>
    <row r="33" spans="1:2">
      <c r="A33" t="s">
        <v>1417</v>
      </c>
      <c r="B33" t="s">
        <v>1083</v>
      </c>
    </row>
    <row r="34" spans="1:2">
      <c r="A34" t="s">
        <v>1418</v>
      </c>
      <c r="B34" t="s">
        <v>1083</v>
      </c>
    </row>
    <row r="35" spans="1:2">
      <c r="A35" t="s">
        <v>1419</v>
      </c>
      <c r="B35" t="s">
        <v>1083</v>
      </c>
    </row>
    <row r="36" spans="1:2">
      <c r="A36" t="s">
        <v>1420</v>
      </c>
      <c r="B36" t="s">
        <v>1083</v>
      </c>
    </row>
    <row r="37" spans="1:2">
      <c r="A37" t="s">
        <v>1421</v>
      </c>
      <c r="B37" t="s">
        <v>1083</v>
      </c>
    </row>
    <row r="38" spans="1:2">
      <c r="A38" t="s">
        <v>1422</v>
      </c>
      <c r="B38" t="s">
        <v>1083</v>
      </c>
    </row>
    <row r="39" spans="1:2">
      <c r="A39" t="s">
        <v>1423</v>
      </c>
      <c r="B39" t="s">
        <v>1083</v>
      </c>
    </row>
    <row r="40" spans="1:2">
      <c r="A40" t="s">
        <v>1424</v>
      </c>
      <c r="B40" t="s">
        <v>1083</v>
      </c>
    </row>
    <row r="41" spans="1:2">
      <c r="A41" t="s">
        <v>1425</v>
      </c>
      <c r="B41" t="s">
        <v>1083</v>
      </c>
    </row>
    <row r="42" spans="1:2">
      <c r="A42" t="s">
        <v>1426</v>
      </c>
      <c r="B42" t="s">
        <v>1083</v>
      </c>
    </row>
    <row r="43" spans="1:2">
      <c r="A43" t="s">
        <v>1394</v>
      </c>
      <c r="B43" t="s">
        <v>1083</v>
      </c>
    </row>
    <row r="44" spans="1:2">
      <c r="A44" t="s">
        <v>1395</v>
      </c>
      <c r="B44" t="s">
        <v>1083</v>
      </c>
    </row>
    <row r="45" spans="1:2">
      <c r="A45" t="s">
        <v>1387</v>
      </c>
      <c r="B45" t="s">
        <v>1083</v>
      </c>
    </row>
    <row r="46" spans="1:2">
      <c r="A46" t="s">
        <v>1396</v>
      </c>
      <c r="B46" t="s">
        <v>1083</v>
      </c>
    </row>
    <row r="47" spans="1:2">
      <c r="A47" t="s">
        <v>1397</v>
      </c>
      <c r="B47" t="s">
        <v>1083</v>
      </c>
    </row>
    <row r="48" spans="1:2">
      <c r="A48" t="s">
        <v>1427</v>
      </c>
      <c r="B48" t="s">
        <v>1083</v>
      </c>
    </row>
    <row r="49" spans="1:2">
      <c r="A49" t="s">
        <v>1428</v>
      </c>
      <c r="B49" t="s">
        <v>1083</v>
      </c>
    </row>
    <row r="50" spans="1:2">
      <c r="A50" t="s">
        <v>1429</v>
      </c>
      <c r="B50" t="s">
        <v>1083</v>
      </c>
    </row>
    <row r="51" spans="1:2">
      <c r="A51" t="s">
        <v>1430</v>
      </c>
      <c r="B51" t="s">
        <v>1083</v>
      </c>
    </row>
    <row r="52" spans="1:2">
      <c r="A52" t="s">
        <v>1431</v>
      </c>
      <c r="B52" t="s">
        <v>1083</v>
      </c>
    </row>
    <row r="53" spans="1:2">
      <c r="A53" t="s">
        <v>1432</v>
      </c>
      <c r="B53" t="s">
        <v>1083</v>
      </c>
    </row>
    <row r="54" spans="1:2">
      <c r="A54" t="s">
        <v>1433</v>
      </c>
      <c r="B54" t="s">
        <v>1083</v>
      </c>
    </row>
    <row r="55" spans="1:2">
      <c r="A55" t="s">
        <v>1434</v>
      </c>
      <c r="B55" t="s">
        <v>1083</v>
      </c>
    </row>
    <row r="56" spans="1:2">
      <c r="A56" t="s">
        <v>1435</v>
      </c>
      <c r="B56" t="s">
        <v>1083</v>
      </c>
    </row>
    <row r="57" spans="1:2">
      <c r="A57" t="s">
        <v>1436</v>
      </c>
      <c r="B57" t="s">
        <v>1083</v>
      </c>
    </row>
    <row r="58" spans="1:2">
      <c r="A58" t="s">
        <v>1437</v>
      </c>
      <c r="B58" t="s">
        <v>1083</v>
      </c>
    </row>
    <row r="59" spans="1:2">
      <c r="A59" t="s">
        <v>1438</v>
      </c>
      <c r="B59" t="s">
        <v>1083</v>
      </c>
    </row>
    <row r="60" spans="1:2">
      <c r="A60" t="s">
        <v>1439</v>
      </c>
      <c r="B60" t="s">
        <v>1083</v>
      </c>
    </row>
    <row r="61" spans="1:2" ht="15">
      <c r="A61" t="s">
        <v>1386</v>
      </c>
      <c r="B61" s="13" t="s">
        <v>1279</v>
      </c>
    </row>
    <row r="62" spans="1:2" ht="15">
      <c r="A62" t="s">
        <v>1364</v>
      </c>
      <c r="B62" s="13" t="s">
        <v>1279</v>
      </c>
    </row>
    <row r="63" spans="1:2" ht="15">
      <c r="A63" t="s">
        <v>1301</v>
      </c>
      <c r="B63" s="13" t="s">
        <v>1279</v>
      </c>
    </row>
    <row r="64" spans="1:2" ht="15">
      <c r="A64" t="s">
        <v>1302</v>
      </c>
      <c r="B64" s="13" t="s">
        <v>1279</v>
      </c>
    </row>
    <row r="65" spans="1:2" ht="15">
      <c r="A65" t="s">
        <v>1303</v>
      </c>
      <c r="B65" s="13" t="s">
        <v>1279</v>
      </c>
    </row>
    <row r="66" spans="1:2" ht="15">
      <c r="A66" t="s">
        <v>1304</v>
      </c>
      <c r="B66" s="13" t="s">
        <v>1279</v>
      </c>
    </row>
    <row r="67" spans="1:2" ht="15">
      <c r="A67" t="s">
        <v>1305</v>
      </c>
      <c r="B67" s="13" t="s">
        <v>1279</v>
      </c>
    </row>
    <row r="68" spans="1:2" ht="15">
      <c r="A68" t="s">
        <v>1306</v>
      </c>
      <c r="B68" s="13" t="s">
        <v>1279</v>
      </c>
    </row>
    <row r="69" spans="1:2" ht="15">
      <c r="A69" t="s">
        <v>1307</v>
      </c>
      <c r="B69" s="13" t="s">
        <v>1279</v>
      </c>
    </row>
    <row r="70" spans="1:2" ht="15">
      <c r="A70" t="s">
        <v>1308</v>
      </c>
      <c r="B70" s="13" t="s">
        <v>1279</v>
      </c>
    </row>
    <row r="71" spans="1:2" ht="15">
      <c r="A71" t="s">
        <v>1309</v>
      </c>
      <c r="B71" s="13" t="s">
        <v>1279</v>
      </c>
    </row>
    <row r="72" spans="1:2" ht="15">
      <c r="A72" t="s">
        <v>1310</v>
      </c>
      <c r="B72" s="13" t="s">
        <v>1279</v>
      </c>
    </row>
    <row r="73" spans="1:2" ht="15">
      <c r="A73" t="s">
        <v>1311</v>
      </c>
      <c r="B73" s="13" t="s">
        <v>1279</v>
      </c>
    </row>
    <row r="74" spans="1:2" ht="15">
      <c r="A74" t="s">
        <v>1312</v>
      </c>
      <c r="B74" s="13" t="s">
        <v>1279</v>
      </c>
    </row>
    <row r="75" spans="1:2" ht="15">
      <c r="A75" t="s">
        <v>1313</v>
      </c>
      <c r="B75" s="13" t="s">
        <v>1279</v>
      </c>
    </row>
    <row r="76" spans="1:2" ht="15">
      <c r="A76" t="s">
        <v>1314</v>
      </c>
      <c r="B76" s="13" t="s">
        <v>1279</v>
      </c>
    </row>
    <row r="77" spans="1:2" ht="15">
      <c r="A77" t="s">
        <v>1315</v>
      </c>
      <c r="B77" s="13" t="s">
        <v>1279</v>
      </c>
    </row>
    <row r="78" spans="1:2" ht="15">
      <c r="A78" t="s">
        <v>1316</v>
      </c>
      <c r="B78" s="13" t="s">
        <v>1279</v>
      </c>
    </row>
    <row r="79" spans="1:2" ht="15">
      <c r="A79" t="s">
        <v>1317</v>
      </c>
      <c r="B79" s="13" t="s">
        <v>1279</v>
      </c>
    </row>
    <row r="80" spans="1:2" ht="15">
      <c r="A80" t="s">
        <v>1318</v>
      </c>
      <c r="B80" s="13" t="s">
        <v>1279</v>
      </c>
    </row>
    <row r="81" spans="1:2" ht="15">
      <c r="A81" t="s">
        <v>1319</v>
      </c>
      <c r="B81" s="13" t="s">
        <v>1279</v>
      </c>
    </row>
    <row r="82" spans="1:2" ht="15">
      <c r="A82" t="s">
        <v>1320</v>
      </c>
      <c r="B82" s="13" t="s">
        <v>1279</v>
      </c>
    </row>
    <row r="83" spans="1:2" ht="15">
      <c r="A83" t="s">
        <v>1321</v>
      </c>
      <c r="B83" s="13" t="s">
        <v>1279</v>
      </c>
    </row>
    <row r="84" spans="1:2" ht="15">
      <c r="A84" t="s">
        <v>1322</v>
      </c>
      <c r="B84" s="13" t="s">
        <v>1279</v>
      </c>
    </row>
    <row r="85" spans="1:2" ht="15">
      <c r="A85" t="s">
        <v>1323</v>
      </c>
      <c r="B85" s="13" t="s">
        <v>1279</v>
      </c>
    </row>
    <row r="86" spans="1:2" ht="15">
      <c r="A86" t="s">
        <v>1324</v>
      </c>
      <c r="B86" s="13" t="s">
        <v>1279</v>
      </c>
    </row>
    <row r="87" spans="1:2" ht="15">
      <c r="A87" t="s">
        <v>1325</v>
      </c>
      <c r="B87" s="13" t="s">
        <v>1279</v>
      </c>
    </row>
    <row r="88" spans="1:2" ht="15">
      <c r="A88" t="s">
        <v>1326</v>
      </c>
      <c r="B88" s="13" t="s">
        <v>1279</v>
      </c>
    </row>
    <row r="89" spans="1:2" ht="15">
      <c r="A89" t="s">
        <v>1327</v>
      </c>
      <c r="B89" s="13" t="s">
        <v>1279</v>
      </c>
    </row>
    <row r="90" spans="1:2" ht="15">
      <c r="A90" t="s">
        <v>1328</v>
      </c>
      <c r="B90" s="13" t="s">
        <v>1279</v>
      </c>
    </row>
    <row r="91" spans="1:2" ht="15">
      <c r="A91" t="s">
        <v>1329</v>
      </c>
      <c r="B91" s="13" t="s">
        <v>1279</v>
      </c>
    </row>
    <row r="92" spans="1:2" ht="15">
      <c r="A92" t="s">
        <v>1330</v>
      </c>
      <c r="B92" s="13" t="s">
        <v>1279</v>
      </c>
    </row>
    <row r="93" spans="1:2" ht="15">
      <c r="A93" t="s">
        <v>1331</v>
      </c>
      <c r="B93" s="13" t="s">
        <v>1279</v>
      </c>
    </row>
    <row r="94" spans="1:2" ht="15">
      <c r="A94" t="s">
        <v>1332</v>
      </c>
      <c r="B94" s="13" t="s">
        <v>1279</v>
      </c>
    </row>
    <row r="95" spans="1:2" ht="15">
      <c r="A95" t="s">
        <v>1333</v>
      </c>
      <c r="B95" s="13" t="s">
        <v>1279</v>
      </c>
    </row>
    <row r="96" spans="1:2" ht="15">
      <c r="A96" t="s">
        <v>1334</v>
      </c>
      <c r="B96" s="13" t="s">
        <v>1279</v>
      </c>
    </row>
    <row r="97" spans="1:2" ht="15">
      <c r="A97" t="s">
        <v>1335</v>
      </c>
      <c r="B97" s="13" t="s">
        <v>1279</v>
      </c>
    </row>
    <row r="98" spans="1:2" ht="15">
      <c r="A98" t="s">
        <v>1336</v>
      </c>
      <c r="B98" s="13" t="s">
        <v>1279</v>
      </c>
    </row>
    <row r="99" spans="1:2" ht="15">
      <c r="A99" t="s">
        <v>1337</v>
      </c>
      <c r="B99" s="13" t="s">
        <v>1279</v>
      </c>
    </row>
    <row r="100" spans="1:2" ht="15">
      <c r="A100" t="s">
        <v>1338</v>
      </c>
      <c r="B100" s="13" t="s">
        <v>1279</v>
      </c>
    </row>
    <row r="101" spans="1:2" ht="15">
      <c r="A101" t="s">
        <v>1339</v>
      </c>
      <c r="B101" s="13" t="s">
        <v>1279</v>
      </c>
    </row>
    <row r="102" spans="1:2" ht="15">
      <c r="A102" t="s">
        <v>1340</v>
      </c>
      <c r="B102" s="13" t="s">
        <v>1279</v>
      </c>
    </row>
    <row r="103" spans="1:2" ht="15">
      <c r="A103" t="s">
        <v>1341</v>
      </c>
      <c r="B103" s="13" t="s">
        <v>1279</v>
      </c>
    </row>
    <row r="104" spans="1:2" ht="15">
      <c r="A104" t="s">
        <v>1342</v>
      </c>
      <c r="B104" s="13" t="s">
        <v>1279</v>
      </c>
    </row>
    <row r="105" spans="1:2" ht="15">
      <c r="A105" s="25" t="s">
        <v>1365</v>
      </c>
      <c r="B105" s="26" t="s">
        <v>1279</v>
      </c>
    </row>
    <row r="106" spans="1:2" ht="15">
      <c r="A106" s="25" t="s">
        <v>1366</v>
      </c>
      <c r="B106" s="26" t="s">
        <v>1279</v>
      </c>
    </row>
    <row r="107" spans="1:2" ht="15">
      <c r="A107" s="25" t="s">
        <v>1367</v>
      </c>
      <c r="B107" s="26" t="s">
        <v>1279</v>
      </c>
    </row>
    <row r="108" spans="1:2" ht="15">
      <c r="A108" s="25" t="s">
        <v>1368</v>
      </c>
      <c r="B108" s="26" t="s">
        <v>1279</v>
      </c>
    </row>
    <row r="109" spans="1:2" ht="15">
      <c r="A109" s="25" t="s">
        <v>1369</v>
      </c>
      <c r="B109" s="26" t="s">
        <v>1279</v>
      </c>
    </row>
    <row r="110" spans="1:2" ht="15">
      <c r="A110" s="25" t="s">
        <v>1370</v>
      </c>
      <c r="B110" s="26" t="s">
        <v>1279</v>
      </c>
    </row>
    <row r="111" spans="1:2" ht="15">
      <c r="A111" s="25" t="s">
        <v>1371</v>
      </c>
      <c r="B111" s="26" t="s">
        <v>1279</v>
      </c>
    </row>
    <row r="112" spans="1:2" ht="15">
      <c r="A112" s="25" t="s">
        <v>1372</v>
      </c>
      <c r="B112" s="26" t="s">
        <v>1279</v>
      </c>
    </row>
    <row r="113" spans="1:2" ht="15">
      <c r="A113" s="25" t="s">
        <v>1373</v>
      </c>
      <c r="B113" s="26" t="s">
        <v>1279</v>
      </c>
    </row>
    <row r="114" spans="1:2" ht="15">
      <c r="A114" s="25" t="s">
        <v>1374</v>
      </c>
      <c r="B114" s="26" t="s">
        <v>1279</v>
      </c>
    </row>
    <row r="115" spans="1:2" ht="15">
      <c r="A115" s="25" t="s">
        <v>1375</v>
      </c>
      <c r="B115" s="26" t="s">
        <v>1279</v>
      </c>
    </row>
    <row r="116" spans="1:2" ht="15">
      <c r="A116" s="25" t="s">
        <v>1376</v>
      </c>
      <c r="B116" s="26" t="s">
        <v>1279</v>
      </c>
    </row>
    <row r="117" spans="1:2" ht="15">
      <c r="A117" s="25" t="s">
        <v>1377</v>
      </c>
      <c r="B117" s="26" t="s">
        <v>1279</v>
      </c>
    </row>
    <row r="118" spans="1:2" ht="15">
      <c r="A118" s="25" t="s">
        <v>1378</v>
      </c>
      <c r="B118" s="26" t="s">
        <v>1279</v>
      </c>
    </row>
    <row r="119" spans="1:2" ht="15">
      <c r="A119" s="25" t="s">
        <v>1379</v>
      </c>
      <c r="B119" s="26" t="s">
        <v>1279</v>
      </c>
    </row>
    <row r="120" spans="1:2" ht="15">
      <c r="A120" s="25" t="s">
        <v>1380</v>
      </c>
      <c r="B120" s="26" t="s">
        <v>1279</v>
      </c>
    </row>
    <row r="121" spans="1:2" ht="15">
      <c r="A121" s="25" t="s">
        <v>1381</v>
      </c>
      <c r="B121" s="26" t="s">
        <v>1279</v>
      </c>
    </row>
    <row r="122" spans="1:2" ht="15">
      <c r="A122" s="25" t="s">
        <v>1382</v>
      </c>
      <c r="B122" s="26" t="s">
        <v>1279</v>
      </c>
    </row>
    <row r="123" spans="1:2" ht="15">
      <c r="A123" s="25" t="s">
        <v>1383</v>
      </c>
      <c r="B123" s="26" t="s">
        <v>1279</v>
      </c>
    </row>
    <row r="124" spans="1:2" ht="15">
      <c r="A124" s="25" t="s">
        <v>1384</v>
      </c>
      <c r="B124" s="26" t="s">
        <v>1279</v>
      </c>
    </row>
    <row r="125" spans="1:2" ht="15">
      <c r="A125" s="25" t="s">
        <v>1385</v>
      </c>
      <c r="B125" s="26" t="s">
        <v>1279</v>
      </c>
    </row>
    <row r="126" spans="1:2" ht="15">
      <c r="A126" t="s">
        <v>1343</v>
      </c>
      <c r="B126" s="13" t="s">
        <v>1279</v>
      </c>
    </row>
    <row r="127" spans="1:2" ht="15">
      <c r="A127" t="s">
        <v>1344</v>
      </c>
      <c r="B127" s="13" t="s">
        <v>1279</v>
      </c>
    </row>
    <row r="128" spans="1:2" ht="15">
      <c r="A128" t="s">
        <v>1345</v>
      </c>
      <c r="B128" s="13" t="s">
        <v>1279</v>
      </c>
    </row>
    <row r="129" spans="1:2" ht="15">
      <c r="A129" t="s">
        <v>1346</v>
      </c>
      <c r="B129" s="13" t="s">
        <v>1279</v>
      </c>
    </row>
    <row r="130" spans="1:2" ht="15">
      <c r="A130" t="s">
        <v>1347</v>
      </c>
      <c r="B130" s="13" t="s">
        <v>1279</v>
      </c>
    </row>
    <row r="131" spans="1:2" ht="15">
      <c r="A131" t="s">
        <v>1348</v>
      </c>
      <c r="B131" s="13" t="s">
        <v>1279</v>
      </c>
    </row>
    <row r="132" spans="1:2" ht="15">
      <c r="A132" t="s">
        <v>1349</v>
      </c>
      <c r="B132" s="13" t="s">
        <v>1279</v>
      </c>
    </row>
    <row r="133" spans="1:2" ht="15">
      <c r="A133" t="s">
        <v>1350</v>
      </c>
      <c r="B133" s="13" t="s">
        <v>1279</v>
      </c>
    </row>
    <row r="134" spans="1:2" ht="15">
      <c r="A134" t="s">
        <v>1351</v>
      </c>
      <c r="B134" s="13" t="s">
        <v>1279</v>
      </c>
    </row>
    <row r="135" spans="1:2" ht="15">
      <c r="A135" t="s">
        <v>1352</v>
      </c>
      <c r="B135" s="13" t="s">
        <v>1279</v>
      </c>
    </row>
    <row r="136" spans="1:2" ht="15">
      <c r="A136" t="s">
        <v>1353</v>
      </c>
      <c r="B136" s="13" t="s">
        <v>1279</v>
      </c>
    </row>
    <row r="137" spans="1:2" ht="15">
      <c r="A137" t="s">
        <v>1354</v>
      </c>
      <c r="B137" s="13" t="s">
        <v>1279</v>
      </c>
    </row>
    <row r="138" spans="1:2" ht="15">
      <c r="A138" t="s">
        <v>1355</v>
      </c>
      <c r="B138" s="13" t="s">
        <v>1279</v>
      </c>
    </row>
    <row r="139" spans="1:2" ht="15">
      <c r="A139" t="s">
        <v>1356</v>
      </c>
      <c r="B139" s="13" t="s">
        <v>1279</v>
      </c>
    </row>
    <row r="140" spans="1:2" ht="15">
      <c r="A140" t="s">
        <v>1357</v>
      </c>
      <c r="B140" s="13" t="s">
        <v>1279</v>
      </c>
    </row>
    <row r="141" spans="1:2" ht="15">
      <c r="A141" t="s">
        <v>1358</v>
      </c>
      <c r="B141" s="13" t="s">
        <v>1279</v>
      </c>
    </row>
    <row r="142" spans="1:2" ht="15">
      <c r="A142" t="s">
        <v>1359</v>
      </c>
      <c r="B142" s="13" t="s">
        <v>1279</v>
      </c>
    </row>
    <row r="143" spans="1:2" ht="15">
      <c r="A143" t="s">
        <v>1360</v>
      </c>
      <c r="B143" s="13" t="s">
        <v>1279</v>
      </c>
    </row>
    <row r="144" spans="1:2" ht="15">
      <c r="A144" t="s">
        <v>1361</v>
      </c>
      <c r="B144" s="13" t="s">
        <v>1279</v>
      </c>
    </row>
    <row r="145" spans="1:2" ht="15">
      <c r="A145" t="s">
        <v>1362</v>
      </c>
      <c r="B145" s="13" t="s">
        <v>1279</v>
      </c>
    </row>
    <row r="146" spans="1:2" ht="15">
      <c r="A146" t="s">
        <v>1363</v>
      </c>
      <c r="B146" s="13" t="s">
        <v>1279</v>
      </c>
    </row>
    <row r="147" spans="1:2" ht="15">
      <c r="A147" t="s">
        <v>1280</v>
      </c>
      <c r="B147" s="13" t="s">
        <v>1279</v>
      </c>
    </row>
    <row r="148" spans="1:2" ht="15">
      <c r="A148" t="s">
        <v>1281</v>
      </c>
      <c r="B148" s="13" t="s">
        <v>1279</v>
      </c>
    </row>
    <row r="149" spans="1:2" ht="15">
      <c r="A149" t="s">
        <v>1282</v>
      </c>
      <c r="B149" s="13" t="s">
        <v>1279</v>
      </c>
    </row>
    <row r="150" spans="1:2" ht="15">
      <c r="A150" t="s">
        <v>1283</v>
      </c>
      <c r="B150" s="13" t="s">
        <v>1279</v>
      </c>
    </row>
    <row r="151" spans="1:2" ht="15">
      <c r="A151" t="s">
        <v>1284</v>
      </c>
      <c r="B151" s="13" t="s">
        <v>1279</v>
      </c>
    </row>
    <row r="152" spans="1:2" ht="15">
      <c r="A152" t="s">
        <v>1285</v>
      </c>
      <c r="B152" s="13" t="s">
        <v>1279</v>
      </c>
    </row>
    <row r="153" spans="1:2" ht="15">
      <c r="A153" t="s">
        <v>1286</v>
      </c>
      <c r="B153" s="13" t="s">
        <v>1279</v>
      </c>
    </row>
    <row r="154" spans="1:2" ht="15">
      <c r="A154" t="s">
        <v>1287</v>
      </c>
      <c r="B154" s="13" t="s">
        <v>1279</v>
      </c>
    </row>
    <row r="155" spans="1:2" ht="15">
      <c r="A155" t="s">
        <v>1288</v>
      </c>
      <c r="B155" s="13" t="s">
        <v>1279</v>
      </c>
    </row>
    <row r="156" spans="1:2" ht="15">
      <c r="A156" t="s">
        <v>1289</v>
      </c>
      <c r="B156" s="13" t="s">
        <v>1279</v>
      </c>
    </row>
    <row r="157" spans="1:2" ht="15">
      <c r="A157" t="s">
        <v>1290</v>
      </c>
      <c r="B157" s="13" t="s">
        <v>1279</v>
      </c>
    </row>
    <row r="158" spans="1:2" ht="15">
      <c r="A158" t="s">
        <v>1291</v>
      </c>
      <c r="B158" s="13" t="s">
        <v>1279</v>
      </c>
    </row>
    <row r="159" spans="1:2" ht="15">
      <c r="A159" t="s">
        <v>1292</v>
      </c>
      <c r="B159" s="13" t="s">
        <v>1279</v>
      </c>
    </row>
    <row r="160" spans="1:2" ht="15">
      <c r="A160" t="s">
        <v>1293</v>
      </c>
      <c r="B160" s="13" t="s">
        <v>1279</v>
      </c>
    </row>
    <row r="161" spans="1:2" ht="15">
      <c r="A161" t="s">
        <v>1294</v>
      </c>
      <c r="B161" s="13" t="s">
        <v>1279</v>
      </c>
    </row>
    <row r="162" spans="1:2" ht="15">
      <c r="A162" t="s">
        <v>1295</v>
      </c>
      <c r="B162" s="13" t="s">
        <v>1279</v>
      </c>
    </row>
    <row r="163" spans="1:2" ht="15">
      <c r="A163" t="s">
        <v>1296</v>
      </c>
      <c r="B163" s="13" t="s">
        <v>1279</v>
      </c>
    </row>
    <row r="164" spans="1:2" ht="15">
      <c r="A164" t="s">
        <v>1297</v>
      </c>
      <c r="B164" s="13" t="s">
        <v>1279</v>
      </c>
    </row>
    <row r="165" spans="1:2" ht="15">
      <c r="A165" t="s">
        <v>1298</v>
      </c>
      <c r="B165" s="13" t="s">
        <v>1279</v>
      </c>
    </row>
    <row r="166" spans="1:2" ht="15">
      <c r="A166" t="s">
        <v>1299</v>
      </c>
      <c r="B166" s="13" t="s">
        <v>1279</v>
      </c>
    </row>
    <row r="167" spans="1:2" ht="15">
      <c r="A167" t="s">
        <v>1300</v>
      </c>
      <c r="B167" s="13" t="s">
        <v>1279</v>
      </c>
    </row>
    <row r="168" spans="1:2" ht="15">
      <c r="A168" s="13" t="s">
        <v>491</v>
      </c>
      <c r="B168" s="11" t="s">
        <v>491</v>
      </c>
    </row>
  </sheetData>
  <conditionalFormatting sqref="B2 B61:B168 A3:B60">
    <cfRule type="containsText" dxfId="31" priority="9" operator="containsText" text="_cam_">
      <formula>NOT(ISERROR(SEARCH("_cam_",A2)))</formula>
    </cfRule>
  </conditionalFormatting>
  <conditionalFormatting sqref="A2:B2">
    <cfRule type="containsText" dxfId="30" priority="6" operator="containsText" text="_cam_">
      <formula>NOT(ISERROR(SEARCH("_cam_",A2)))</formula>
    </cfRule>
  </conditionalFormatting>
  <conditionalFormatting sqref="A2">
    <cfRule type="containsText" dxfId="29" priority="5" operator="containsText" text="_cam_">
      <formula>NOT(ISERROR(SEARCH("_cam_",A2)))</formula>
    </cfRule>
  </conditionalFormatting>
  <conditionalFormatting sqref="B2">
    <cfRule type="containsText" dxfId="28" priority="4" operator="containsText" text="_cam_">
      <formula>NOT(ISERROR(SEARCH("_cam_",B2)))</formula>
    </cfRule>
  </conditionalFormatting>
  <conditionalFormatting sqref="A168:B168">
    <cfRule type="containsText" dxfId="27" priority="3" operator="containsText" text="_cam_">
      <formula>NOT(ISERROR(SEARCH("_cam_",A168)))</formula>
    </cfRule>
  </conditionalFormatting>
  <conditionalFormatting sqref="A168">
    <cfRule type="containsText" dxfId="26" priority="2" operator="containsText" text="_cam_">
      <formula>NOT(ISERROR(SEARCH("_cam_",A168)))</formula>
    </cfRule>
  </conditionalFormatting>
  <conditionalFormatting sqref="B168">
    <cfRule type="containsText" dxfId="25" priority="1" operator="containsText" text="_cam_">
      <formula>NOT(ISERROR(SEARCH("_cam_",B168)))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8C44-D16B-44F1-B10C-A51678322B0F}">
  <sheetPr codeName="Sheet2"/>
  <dimension ref="A1:E32"/>
  <sheetViews>
    <sheetView workbookViewId="0">
      <selection activeCell="A3" sqref="A3:A13"/>
    </sheetView>
  </sheetViews>
  <sheetFormatPr defaultRowHeight="14.25"/>
  <cols>
    <col min="1" max="1" width="51" style="14" customWidth="1"/>
    <col min="2" max="2" width="25.25" customWidth="1"/>
    <col min="3" max="3" width="16.75" customWidth="1"/>
    <col min="4" max="4" width="15.375" customWidth="1"/>
  </cols>
  <sheetData>
    <row r="1" spans="1:5" ht="15">
      <c r="A1" s="13" t="s">
        <v>330</v>
      </c>
      <c r="B1" s="11" t="s">
        <v>282</v>
      </c>
      <c r="C1" s="11"/>
      <c r="D1">
        <f>COUNTA(A:A)</f>
        <v>25</v>
      </c>
    </row>
    <row r="2" spans="1:5" ht="15">
      <c r="A2" s="13" t="s">
        <v>491</v>
      </c>
      <c r="B2" s="11" t="s">
        <v>491</v>
      </c>
      <c r="C2" s="11"/>
    </row>
    <row r="3" spans="1:5">
      <c r="A3" s="14" t="s">
        <v>506</v>
      </c>
      <c r="B3" t="s">
        <v>505</v>
      </c>
      <c r="D3" t="s">
        <v>1268</v>
      </c>
      <c r="E3" t="s">
        <v>1270</v>
      </c>
    </row>
    <row r="4" spans="1:5">
      <c r="A4" s="14" t="s">
        <v>508</v>
      </c>
      <c r="B4" t="s">
        <v>507</v>
      </c>
      <c r="D4" t="s">
        <v>1269</v>
      </c>
      <c r="E4" t="s">
        <v>1271</v>
      </c>
    </row>
    <row r="5" spans="1:5">
      <c r="A5" s="14" t="s">
        <v>510</v>
      </c>
      <c r="B5" t="s">
        <v>509</v>
      </c>
    </row>
    <row r="6" spans="1:5">
      <c r="A6" s="14" t="s">
        <v>512</v>
      </c>
      <c r="B6" t="s">
        <v>511</v>
      </c>
    </row>
    <row r="7" spans="1:5">
      <c r="A7" s="14" t="s">
        <v>514</v>
      </c>
      <c r="B7" t="s">
        <v>513</v>
      </c>
    </row>
    <row r="8" spans="1:5">
      <c r="A8" s="14" t="s">
        <v>516</v>
      </c>
      <c r="B8" t="s">
        <v>515</v>
      </c>
    </row>
    <row r="9" spans="1:5">
      <c r="A9" s="14" t="s">
        <v>1206</v>
      </c>
      <c r="B9" t="s">
        <v>517</v>
      </c>
    </row>
    <row r="10" spans="1:5">
      <c r="A10" s="14" t="s">
        <v>519</v>
      </c>
      <c r="B10" t="s">
        <v>518</v>
      </c>
    </row>
    <row r="11" spans="1:5">
      <c r="A11" s="14" t="s">
        <v>521</v>
      </c>
      <c r="B11" t="s">
        <v>520</v>
      </c>
    </row>
    <row r="12" spans="1:5">
      <c r="A12" s="14" t="s">
        <v>1040</v>
      </c>
      <c r="B12" t="s">
        <v>1041</v>
      </c>
    </row>
    <row r="13" spans="1:5">
      <c r="A13" s="14" t="s">
        <v>523</v>
      </c>
      <c r="B13" t="s">
        <v>1017</v>
      </c>
    </row>
    <row r="14" spans="1:5">
      <c r="A14" s="14" t="s">
        <v>1020</v>
      </c>
      <c r="B14" t="s">
        <v>505</v>
      </c>
    </row>
    <row r="15" spans="1:5">
      <c r="A15" s="14" t="s">
        <v>1026</v>
      </c>
      <c r="B15" t="s">
        <v>507</v>
      </c>
    </row>
    <row r="16" spans="1:5">
      <c r="A16" s="14" t="s">
        <v>1027</v>
      </c>
      <c r="B16" t="s">
        <v>509</v>
      </c>
    </row>
    <row r="17" spans="1:5">
      <c r="A17" s="14" t="s">
        <v>1028</v>
      </c>
      <c r="B17" t="s">
        <v>511</v>
      </c>
    </row>
    <row r="18" spans="1:5">
      <c r="A18" s="14" t="s">
        <v>1029</v>
      </c>
      <c r="B18" t="s">
        <v>513</v>
      </c>
    </row>
    <row r="19" spans="1:5">
      <c r="A19" s="14" t="s">
        <v>1030</v>
      </c>
      <c r="B19" t="s">
        <v>515</v>
      </c>
    </row>
    <row r="20" spans="1:5">
      <c r="A20" s="14" t="s">
        <v>1021</v>
      </c>
      <c r="B20" t="s">
        <v>517</v>
      </c>
    </row>
    <row r="21" spans="1:5">
      <c r="A21" s="14" t="s">
        <v>1022</v>
      </c>
      <c r="B21" t="s">
        <v>518</v>
      </c>
    </row>
    <row r="22" spans="1:5">
      <c r="A22" s="14" t="s">
        <v>1023</v>
      </c>
      <c r="B22" t="s">
        <v>520</v>
      </c>
    </row>
    <row r="23" spans="1:5">
      <c r="A23" s="14" t="s">
        <v>1209</v>
      </c>
      <c r="B23" t="s">
        <v>522</v>
      </c>
    </row>
    <row r="24" spans="1:5">
      <c r="A24" s="14" t="s">
        <v>1025</v>
      </c>
      <c r="B24" t="s">
        <v>1017</v>
      </c>
    </row>
    <row r="25" spans="1:5" ht="15">
      <c r="A25" s="13" t="s">
        <v>491</v>
      </c>
      <c r="B25" s="11" t="s">
        <v>491</v>
      </c>
      <c r="D25" s="14" t="s">
        <v>1210</v>
      </c>
      <c r="E25" t="s">
        <v>1211</v>
      </c>
    </row>
    <row r="26" spans="1:5">
      <c r="D26" s="14" t="s">
        <v>1212</v>
      </c>
      <c r="E26" t="s">
        <v>1213</v>
      </c>
    </row>
    <row r="27" spans="1:5">
      <c r="D27" s="14" t="s">
        <v>1214</v>
      </c>
      <c r="E27" t="s">
        <v>1215</v>
      </c>
    </row>
    <row r="28" spans="1:5">
      <c r="D28" s="14" t="s">
        <v>1216</v>
      </c>
      <c r="E28" t="s">
        <v>1217</v>
      </c>
    </row>
    <row r="29" spans="1:5">
      <c r="D29" s="14" t="s">
        <v>1218</v>
      </c>
      <c r="E29" t="s">
        <v>1211</v>
      </c>
    </row>
    <row r="30" spans="1:5">
      <c r="D30" s="14" t="s">
        <v>1219</v>
      </c>
      <c r="E30" t="s">
        <v>1213</v>
      </c>
    </row>
    <row r="31" spans="1:5">
      <c r="D31" s="14" t="s">
        <v>1220</v>
      </c>
      <c r="E31" t="s">
        <v>1215</v>
      </c>
    </row>
    <row r="32" spans="1:5" ht="15">
      <c r="A32" s="13"/>
      <c r="B32" s="11"/>
    </row>
  </sheetData>
  <conditionalFormatting sqref="A2">
    <cfRule type="containsText" dxfId="24" priority="16" operator="containsText" text="_cam_">
      <formula>NOT(ISERROR(SEARCH("_cam_",A2)))</formula>
    </cfRule>
  </conditionalFormatting>
  <conditionalFormatting sqref="A2:C2">
    <cfRule type="containsText" dxfId="23" priority="15" operator="containsText" text="_cam_">
      <formula>NOT(ISERROR(SEARCH("_cam_",A2)))</formula>
    </cfRule>
  </conditionalFormatting>
  <conditionalFormatting sqref="B2:C2">
    <cfRule type="containsText" dxfId="22" priority="13" operator="containsText" text="_cam_">
      <formula>NOT(ISERROR(SEARCH("_cam_",B2)))</formula>
    </cfRule>
  </conditionalFormatting>
  <conditionalFormatting sqref="A32">
    <cfRule type="containsText" dxfId="21" priority="6" operator="containsText" text="_cam_">
      <formula>NOT(ISERROR(SEARCH("_cam_",A32)))</formula>
    </cfRule>
  </conditionalFormatting>
  <conditionalFormatting sqref="A32:B32">
    <cfRule type="containsText" dxfId="20" priority="5" operator="containsText" text="_cam_">
      <formula>NOT(ISERROR(SEARCH("_cam_",A32)))</formula>
    </cfRule>
  </conditionalFormatting>
  <conditionalFormatting sqref="B32">
    <cfRule type="containsText" dxfId="19" priority="4" operator="containsText" text="_cam_">
      <formula>NOT(ISERROR(SEARCH("_cam_",B32)))</formula>
    </cfRule>
  </conditionalFormatting>
  <conditionalFormatting sqref="A25">
    <cfRule type="containsText" dxfId="18" priority="3" operator="containsText" text="_cam_">
      <formula>NOT(ISERROR(SEARCH("_cam_",A25)))</formula>
    </cfRule>
  </conditionalFormatting>
  <conditionalFormatting sqref="A25:B25">
    <cfRule type="containsText" dxfId="17" priority="2" operator="containsText" text="_cam_">
      <formula>NOT(ISERROR(SEARCH("_cam_",A25)))</formula>
    </cfRule>
  </conditionalFormatting>
  <conditionalFormatting sqref="B25">
    <cfRule type="containsText" dxfId="16" priority="1" operator="containsText" text="_cam_">
      <formula>NOT(ISERROR(SEARCH("_cam_",B25)))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sheetPr codeName="Sheet4"/>
  <dimension ref="A1:L76"/>
  <sheetViews>
    <sheetView workbookViewId="0">
      <selection activeCell="A73" sqref="A73"/>
    </sheetView>
  </sheetViews>
  <sheetFormatPr defaultRowHeight="14.25"/>
  <cols>
    <col min="1" max="1" width="80.625" style="19" customWidth="1"/>
    <col min="2" max="2" width="33.5" style="19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18" t="s">
        <v>330</v>
      </c>
      <c r="B1" s="18" t="s">
        <v>282</v>
      </c>
      <c r="D1">
        <f>COUNTA(A:A)</f>
        <v>74</v>
      </c>
    </row>
    <row r="2" spans="1:5" ht="15">
      <c r="A2" s="18" t="s">
        <v>491</v>
      </c>
      <c r="B2" s="18" t="s">
        <v>491</v>
      </c>
      <c r="C2" t="s">
        <v>965</v>
      </c>
      <c r="E2" s="17"/>
    </row>
    <row r="3" spans="1:5">
      <c r="A3" s="19" t="s">
        <v>964</v>
      </c>
      <c r="B3" s="19" t="s">
        <v>932</v>
      </c>
      <c r="C3" t="s">
        <v>965</v>
      </c>
      <c r="D3" t="s">
        <v>1064</v>
      </c>
      <c r="E3" s="15" t="s">
        <v>1066</v>
      </c>
    </row>
    <row r="4" spans="1:5">
      <c r="A4" s="19" t="s">
        <v>972</v>
      </c>
      <c r="B4" s="19" t="s">
        <v>963</v>
      </c>
      <c r="C4" t="s">
        <v>965</v>
      </c>
      <c r="D4" t="s">
        <v>1065</v>
      </c>
      <c r="E4" s="17" t="s">
        <v>1067</v>
      </c>
    </row>
    <row r="5" spans="1:5">
      <c r="A5" s="19" t="s">
        <v>931</v>
      </c>
      <c r="B5" s="19" t="s">
        <v>942</v>
      </c>
      <c r="C5" t="s">
        <v>965</v>
      </c>
    </row>
    <row r="6" spans="1:5">
      <c r="A6" s="19" t="s">
        <v>930</v>
      </c>
      <c r="B6" s="19" t="s">
        <v>942</v>
      </c>
      <c r="C6" t="s">
        <v>965</v>
      </c>
    </row>
    <row r="7" spans="1:5">
      <c r="A7" s="19" t="s">
        <v>980</v>
      </c>
      <c r="B7" s="19" t="s">
        <v>942</v>
      </c>
      <c r="C7" t="s">
        <v>965</v>
      </c>
    </row>
    <row r="8" spans="1:5">
      <c r="A8" s="19" t="s">
        <v>933</v>
      </c>
      <c r="B8" s="19" t="s">
        <v>934</v>
      </c>
      <c r="C8" t="s">
        <v>965</v>
      </c>
    </row>
    <row r="9" spans="1:5">
      <c r="A9" s="19" t="s">
        <v>935</v>
      </c>
      <c r="B9" s="19" t="s">
        <v>934</v>
      </c>
      <c r="C9" t="s">
        <v>965</v>
      </c>
    </row>
    <row r="10" spans="1:5">
      <c r="A10" s="19" t="s">
        <v>981</v>
      </c>
      <c r="B10" s="19" t="s">
        <v>934</v>
      </c>
      <c r="C10" t="s">
        <v>965</v>
      </c>
    </row>
    <row r="11" spans="1:5">
      <c r="A11" s="19" t="s">
        <v>936</v>
      </c>
      <c r="B11" s="19" t="s">
        <v>937</v>
      </c>
      <c r="C11" t="s">
        <v>965</v>
      </c>
      <c r="E11" s="15"/>
    </row>
    <row r="12" spans="1:5">
      <c r="A12" s="19" t="s">
        <v>979</v>
      </c>
      <c r="B12" s="19" t="s">
        <v>937</v>
      </c>
      <c r="C12" t="s">
        <v>965</v>
      </c>
      <c r="E12" s="15"/>
    </row>
    <row r="13" spans="1:5">
      <c r="A13" s="19" t="s">
        <v>938</v>
      </c>
      <c r="B13" s="19" t="s">
        <v>937</v>
      </c>
      <c r="C13" t="s">
        <v>965</v>
      </c>
      <c r="E13" s="15"/>
    </row>
    <row r="14" spans="1:5">
      <c r="A14" s="19" t="s">
        <v>939</v>
      </c>
      <c r="B14" s="19" t="s">
        <v>940</v>
      </c>
      <c r="C14" t="s">
        <v>965</v>
      </c>
      <c r="E14" s="15"/>
    </row>
    <row r="15" spans="1:5">
      <c r="A15" s="19" t="s">
        <v>941</v>
      </c>
      <c r="B15" s="19" t="s">
        <v>940</v>
      </c>
      <c r="C15" t="s">
        <v>965</v>
      </c>
      <c r="E15" s="15"/>
    </row>
    <row r="16" spans="1:5">
      <c r="A16" s="19" t="s">
        <v>943</v>
      </c>
      <c r="B16" s="19" t="s">
        <v>944</v>
      </c>
      <c r="C16" t="s">
        <v>965</v>
      </c>
      <c r="E16" s="15"/>
    </row>
    <row r="17" spans="1:12">
      <c r="A17" s="19" t="s">
        <v>948</v>
      </c>
      <c r="B17" s="19" t="s">
        <v>944</v>
      </c>
      <c r="C17" t="s">
        <v>965</v>
      </c>
      <c r="E17" s="15"/>
    </row>
    <row r="18" spans="1:12">
      <c r="A18" s="19" t="s">
        <v>945</v>
      </c>
      <c r="B18" s="19" t="s">
        <v>946</v>
      </c>
      <c r="C18" t="s">
        <v>965</v>
      </c>
      <c r="E18" s="15"/>
    </row>
    <row r="19" spans="1:12">
      <c r="A19" s="19" t="s">
        <v>947</v>
      </c>
      <c r="B19" s="19" t="s">
        <v>946</v>
      </c>
      <c r="C19" t="s">
        <v>965</v>
      </c>
      <c r="E19" s="15"/>
    </row>
    <row r="20" spans="1:12">
      <c r="A20" s="19" t="s">
        <v>949</v>
      </c>
      <c r="B20" s="19" t="s">
        <v>950</v>
      </c>
      <c r="C20" t="s">
        <v>965</v>
      </c>
      <c r="E20" s="15"/>
    </row>
    <row r="21" spans="1:12">
      <c r="A21" s="19" t="s">
        <v>959</v>
      </c>
      <c r="B21" s="19" t="s">
        <v>958</v>
      </c>
      <c r="C21" t="s">
        <v>965</v>
      </c>
      <c r="D21" s="16"/>
      <c r="E21" s="15"/>
    </row>
    <row r="22" spans="1:12">
      <c r="A22" s="19" t="s">
        <v>960</v>
      </c>
      <c r="B22" s="19" t="s">
        <v>958</v>
      </c>
      <c r="C22" t="s">
        <v>965</v>
      </c>
      <c r="E22" s="15"/>
    </row>
    <row r="23" spans="1:12">
      <c r="A23" s="19" t="s">
        <v>951</v>
      </c>
      <c r="B23" s="19" t="s">
        <v>952</v>
      </c>
      <c r="C23" t="s">
        <v>965</v>
      </c>
      <c r="E23" s="15"/>
    </row>
    <row r="24" spans="1:12">
      <c r="A24" s="20" t="s">
        <v>953</v>
      </c>
      <c r="B24" s="19" t="s">
        <v>954</v>
      </c>
      <c r="C24" t="s">
        <v>965</v>
      </c>
      <c r="L24" s="15"/>
    </row>
    <row r="25" spans="1:12">
      <c r="A25" s="19" t="s">
        <v>955</v>
      </c>
      <c r="B25" s="19" t="s">
        <v>954</v>
      </c>
      <c r="C25" t="s">
        <v>965</v>
      </c>
      <c r="L25" s="15"/>
    </row>
    <row r="26" spans="1:12">
      <c r="A26" s="19" t="s">
        <v>956</v>
      </c>
      <c r="B26" s="21" t="s">
        <v>957</v>
      </c>
      <c r="C26" t="s">
        <v>965</v>
      </c>
      <c r="L26" s="15"/>
    </row>
    <row r="27" spans="1:12">
      <c r="A27" s="19" t="s">
        <v>962</v>
      </c>
      <c r="B27" s="21" t="s">
        <v>957</v>
      </c>
      <c r="C27" t="s">
        <v>965</v>
      </c>
      <c r="L27" s="15"/>
    </row>
    <row r="28" spans="1:12">
      <c r="A28" s="19" t="s">
        <v>961</v>
      </c>
      <c r="B28" s="21" t="s">
        <v>957</v>
      </c>
      <c r="C28" t="s">
        <v>965</v>
      </c>
      <c r="L28" s="15"/>
    </row>
    <row r="29" spans="1:12">
      <c r="A29" s="19" t="s">
        <v>985</v>
      </c>
      <c r="B29" s="19" t="s">
        <v>986</v>
      </c>
      <c r="C29" t="s">
        <v>965</v>
      </c>
      <c r="L29" s="15"/>
    </row>
    <row r="30" spans="1:12">
      <c r="A30" s="19" t="s">
        <v>972</v>
      </c>
      <c r="B30" s="19" t="s">
        <v>963</v>
      </c>
      <c r="C30" t="s">
        <v>965</v>
      </c>
      <c r="L30" s="15"/>
    </row>
    <row r="31" spans="1:12">
      <c r="A31" s="20" t="s">
        <v>973</v>
      </c>
      <c r="B31" s="20" t="s">
        <v>974</v>
      </c>
      <c r="C31" t="s">
        <v>965</v>
      </c>
      <c r="L31" s="17"/>
    </row>
    <row r="32" spans="1:12">
      <c r="A32" s="20" t="s">
        <v>975</v>
      </c>
      <c r="B32" s="19" t="s">
        <v>976</v>
      </c>
      <c r="C32" t="s">
        <v>965</v>
      </c>
    </row>
    <row r="33" spans="1:12">
      <c r="A33" s="19" t="s">
        <v>977</v>
      </c>
      <c r="B33" s="19" t="s">
        <v>978</v>
      </c>
      <c r="C33" t="s">
        <v>965</v>
      </c>
      <c r="L33" s="15"/>
    </row>
    <row r="34" spans="1:12">
      <c r="A34" s="19" t="s">
        <v>983</v>
      </c>
      <c r="B34" s="20" t="s">
        <v>982</v>
      </c>
      <c r="C34" t="s">
        <v>965</v>
      </c>
    </row>
    <row r="35" spans="1:12">
      <c r="A35" s="19" t="s">
        <v>984</v>
      </c>
      <c r="B35" s="20" t="s">
        <v>982</v>
      </c>
      <c r="C35" t="s">
        <v>965</v>
      </c>
      <c r="L35" s="15"/>
    </row>
    <row r="36" spans="1:12">
      <c r="A36" s="19" t="s">
        <v>1034</v>
      </c>
      <c r="B36" s="19" t="s">
        <v>1033</v>
      </c>
      <c r="C36" t="s">
        <v>965</v>
      </c>
      <c r="L36" s="15"/>
    </row>
    <row r="37" spans="1:12">
      <c r="A37" s="19" t="s">
        <v>989</v>
      </c>
      <c r="B37" s="19" t="s">
        <v>990</v>
      </c>
      <c r="C37" t="s">
        <v>965</v>
      </c>
      <c r="L37" s="15"/>
    </row>
    <row r="38" spans="1:12">
      <c r="A38" s="19" t="s">
        <v>1031</v>
      </c>
      <c r="B38" s="19" t="s">
        <v>1033</v>
      </c>
      <c r="C38" t="s">
        <v>965</v>
      </c>
      <c r="L38" s="15"/>
    </row>
    <row r="39" spans="1:12">
      <c r="A39" s="19" t="s">
        <v>1032</v>
      </c>
      <c r="B39" s="19" t="s">
        <v>1033</v>
      </c>
      <c r="C39" t="s">
        <v>965</v>
      </c>
      <c r="L39" s="15"/>
    </row>
    <row r="40" spans="1:12" ht="13.5" customHeight="1">
      <c r="A40" s="19" t="s">
        <v>991</v>
      </c>
      <c r="B40" s="19" t="s">
        <v>990</v>
      </c>
      <c r="C40" t="s">
        <v>965</v>
      </c>
      <c r="L40" s="15"/>
    </row>
    <row r="41" spans="1:12">
      <c r="A41" s="19" t="s">
        <v>992</v>
      </c>
      <c r="B41" s="19" t="s">
        <v>990</v>
      </c>
      <c r="C41" t="s">
        <v>965</v>
      </c>
      <c r="L41" s="17"/>
    </row>
    <row r="42" spans="1:12">
      <c r="A42" s="15" t="s">
        <v>987</v>
      </c>
      <c r="B42" s="15" t="s">
        <v>988</v>
      </c>
      <c r="C42" t="s">
        <v>965</v>
      </c>
      <c r="L42" s="17"/>
    </row>
    <row r="43" spans="1:12">
      <c r="A43" s="19" t="s">
        <v>993</v>
      </c>
      <c r="B43" s="19" t="s">
        <v>994</v>
      </c>
      <c r="C43" t="s">
        <v>965</v>
      </c>
      <c r="L43" s="17"/>
    </row>
    <row r="44" spans="1:12">
      <c r="A44" s="19" t="s">
        <v>995</v>
      </c>
      <c r="B44" s="19" t="s">
        <v>996</v>
      </c>
      <c r="C44" t="s">
        <v>965</v>
      </c>
      <c r="L44" s="17"/>
    </row>
    <row r="45" spans="1:12">
      <c r="A45" s="19" t="s">
        <v>997</v>
      </c>
      <c r="B45" s="19" t="s">
        <v>996</v>
      </c>
      <c r="C45" t="s">
        <v>965</v>
      </c>
      <c r="L45" s="17"/>
    </row>
    <row r="46" spans="1:12" s="19" customFormat="1">
      <c r="A46" s="19" t="s">
        <v>998</v>
      </c>
      <c r="B46" s="19" t="s">
        <v>999</v>
      </c>
      <c r="C46" t="s">
        <v>965</v>
      </c>
    </row>
    <row r="47" spans="1:12">
      <c r="A47" s="19" t="s">
        <v>1000</v>
      </c>
      <c r="B47" s="19" t="s">
        <v>999</v>
      </c>
      <c r="C47" t="s">
        <v>965</v>
      </c>
      <c r="L47" s="17"/>
    </row>
    <row r="48" spans="1:12">
      <c r="A48" s="19" t="s">
        <v>1004</v>
      </c>
      <c r="B48" s="19" t="s">
        <v>1005</v>
      </c>
      <c r="C48" t="s">
        <v>965</v>
      </c>
      <c r="L48" s="17"/>
    </row>
    <row r="49" spans="1:12">
      <c r="A49" s="19" t="s">
        <v>1006</v>
      </c>
      <c r="B49" s="19" t="s">
        <v>1007</v>
      </c>
      <c r="C49" t="s">
        <v>965</v>
      </c>
      <c r="L49" s="17"/>
    </row>
    <row r="50" spans="1:12">
      <c r="A50" s="19" t="s">
        <v>1001</v>
      </c>
      <c r="B50" s="19" t="s">
        <v>1002</v>
      </c>
      <c r="C50" t="s">
        <v>965</v>
      </c>
    </row>
    <row r="51" spans="1:12">
      <c r="A51" s="19" t="s">
        <v>1003</v>
      </c>
      <c r="B51" s="19" t="s">
        <v>1002</v>
      </c>
      <c r="C51" t="s">
        <v>965</v>
      </c>
    </row>
    <row r="52" spans="1:12">
      <c r="A52" s="19" t="s">
        <v>963</v>
      </c>
      <c r="B52" s="19" t="s">
        <v>964</v>
      </c>
      <c r="C52" t="s">
        <v>965</v>
      </c>
    </row>
    <row r="53" spans="1:12">
      <c r="A53" s="19" t="s">
        <v>1053</v>
      </c>
      <c r="B53" s="19" t="s">
        <v>1054</v>
      </c>
      <c r="C53" t="s">
        <v>965</v>
      </c>
    </row>
    <row r="54" spans="1:12">
      <c r="A54" s="19" t="s">
        <v>1055</v>
      </c>
      <c r="B54" s="19" t="s">
        <v>1056</v>
      </c>
      <c r="C54" t="s">
        <v>965</v>
      </c>
    </row>
    <row r="55" spans="1:12">
      <c r="A55" s="19" t="s">
        <v>1057</v>
      </c>
      <c r="B55" s="19" t="s">
        <v>1058</v>
      </c>
      <c r="C55" t="s">
        <v>965</v>
      </c>
    </row>
    <row r="56" spans="1:12">
      <c r="A56" s="19" t="s">
        <v>1059</v>
      </c>
      <c r="B56" s="19" t="s">
        <v>1060</v>
      </c>
      <c r="C56" t="s">
        <v>965</v>
      </c>
    </row>
    <row r="57" spans="1:12">
      <c r="A57" s="19" t="s">
        <v>1060</v>
      </c>
      <c r="B57" s="19" t="s">
        <v>1061</v>
      </c>
      <c r="C57" t="s">
        <v>965</v>
      </c>
    </row>
    <row r="58" spans="1:12">
      <c r="A58" s="19" t="s">
        <v>1051</v>
      </c>
      <c r="B58" s="19" t="s">
        <v>1052</v>
      </c>
      <c r="C58" t="s">
        <v>965</v>
      </c>
    </row>
    <row r="59" spans="1:12">
      <c r="A59" s="19" t="s">
        <v>1042</v>
      </c>
      <c r="B59" s="19" t="s">
        <v>1043</v>
      </c>
      <c r="C59" t="s">
        <v>965</v>
      </c>
    </row>
    <row r="60" spans="1:12">
      <c r="A60" s="19" t="s">
        <v>1044</v>
      </c>
      <c r="B60" s="19" t="s">
        <v>1045</v>
      </c>
      <c r="C60" t="s">
        <v>965</v>
      </c>
    </row>
    <row r="61" spans="1:12">
      <c r="A61" s="19" t="s">
        <v>1046</v>
      </c>
      <c r="B61" s="19" t="s">
        <v>1047</v>
      </c>
      <c r="C61" t="s">
        <v>965</v>
      </c>
    </row>
    <row r="62" spans="1:12">
      <c r="A62" s="19" t="s">
        <v>1047</v>
      </c>
      <c r="B62" s="19" t="s">
        <v>1048</v>
      </c>
      <c r="C62" t="s">
        <v>965</v>
      </c>
    </row>
    <row r="63" spans="1:12">
      <c r="A63" s="19" t="s">
        <v>1049</v>
      </c>
      <c r="B63" s="19" t="s">
        <v>1050</v>
      </c>
      <c r="C63" t="s">
        <v>965</v>
      </c>
    </row>
    <row r="64" spans="1:12">
      <c r="A64" s="19" t="s">
        <v>1011</v>
      </c>
      <c r="B64" s="19" t="s">
        <v>1012</v>
      </c>
      <c r="C64" t="s">
        <v>965</v>
      </c>
    </row>
    <row r="65" spans="1:3">
      <c r="A65" s="19" t="s">
        <v>1009</v>
      </c>
      <c r="B65" s="19" t="s">
        <v>1010</v>
      </c>
      <c r="C65" t="s">
        <v>965</v>
      </c>
    </row>
    <row r="66" spans="1:3">
      <c r="A66" s="19" t="s">
        <v>1008</v>
      </c>
      <c r="B66" s="19" t="s">
        <v>1018</v>
      </c>
      <c r="C66" t="s">
        <v>965</v>
      </c>
    </row>
    <row r="67" spans="1:3">
      <c r="A67" s="19" t="s">
        <v>1018</v>
      </c>
      <c r="B67" s="19" t="s">
        <v>1037</v>
      </c>
      <c r="C67" t="s">
        <v>965</v>
      </c>
    </row>
    <row r="68" spans="1:3">
      <c r="A68" s="19" t="s">
        <v>1062</v>
      </c>
      <c r="B68" s="19" t="s">
        <v>1063</v>
      </c>
    </row>
    <row r="69" spans="1:3">
      <c r="A69" s="19" t="s">
        <v>1013</v>
      </c>
      <c r="B69" s="19" t="s">
        <v>1014</v>
      </c>
      <c r="C69" t="s">
        <v>965</v>
      </c>
    </row>
    <row r="70" spans="1:3">
      <c r="A70" s="19" t="s">
        <v>1015</v>
      </c>
      <c r="B70" s="19" t="s">
        <v>1016</v>
      </c>
      <c r="C70" t="s">
        <v>965</v>
      </c>
    </row>
    <row r="71" spans="1:3">
      <c r="A71" s="19" t="s">
        <v>1015</v>
      </c>
      <c r="B71" s="19" t="s">
        <v>1019</v>
      </c>
      <c r="C71" t="s">
        <v>965</v>
      </c>
    </row>
    <row r="72" spans="1:3">
      <c r="A72" s="19" t="s">
        <v>1035</v>
      </c>
      <c r="B72" s="19" t="s">
        <v>1036</v>
      </c>
      <c r="C72" t="s">
        <v>965</v>
      </c>
    </row>
    <row r="73" spans="1:3">
      <c r="A73" s="21" t="s">
        <v>1038</v>
      </c>
      <c r="B73" s="19" t="s">
        <v>1039</v>
      </c>
      <c r="C73" t="s">
        <v>965</v>
      </c>
    </row>
    <row r="74" spans="1:3" ht="15">
      <c r="A74" s="18" t="s">
        <v>491</v>
      </c>
      <c r="B74" s="18" t="s">
        <v>491</v>
      </c>
      <c r="C74" t="s">
        <v>965</v>
      </c>
    </row>
    <row r="76" spans="1:3">
      <c r="A76" s="21"/>
    </row>
  </sheetData>
  <conditionalFormatting sqref="A17 A20 A23 A29:A30 A1:A3 A5:A15 A33 A42:A43 A50 B21:B23 A36:A37 A70:A71 A63:A66 A73:A1048576">
    <cfRule type="containsText" dxfId="15" priority="14" operator="containsText" text="_cam_">
      <formula>NOT(ISERROR(SEARCH("_cam_",A1)))</formula>
    </cfRule>
  </conditionalFormatting>
  <conditionalFormatting sqref="B2">
    <cfRule type="containsText" dxfId="14" priority="13" operator="containsText" text="_cam_">
      <formula>NOT(ISERROR(SEARCH("_cam_",B2)))</formula>
    </cfRule>
  </conditionalFormatting>
  <conditionalFormatting sqref="A21:A22">
    <cfRule type="containsText" dxfId="13" priority="11" operator="containsText" text="_cam_">
      <formula>NOT(ISERROR(SEARCH("_cam_",A21)))</formula>
    </cfRule>
  </conditionalFormatting>
  <conditionalFormatting sqref="B43">
    <cfRule type="containsText" dxfId="12" priority="7" operator="containsText" text="_cam_">
      <formula>NOT(ISERROR(SEARCH("_cam_",B43)))</formula>
    </cfRule>
  </conditionalFormatting>
  <conditionalFormatting sqref="B74">
    <cfRule type="containsText" dxfId="11" priority="3" operator="containsText" text="_cam_">
      <formula>NOT(ISERROR(SEARCH("_cam_",B74)))</formula>
    </cfRule>
  </conditionalFormatting>
  <conditionalFormatting sqref="A58:A61">
    <cfRule type="containsText" dxfId="10" priority="2" operator="containsText" text="_cam_">
      <formula>NOT(ISERROR(SEARCH("_cam_",A58)))</formula>
    </cfRule>
  </conditionalFormatting>
  <conditionalFormatting sqref="A53:A56">
    <cfRule type="containsText" dxfId="9" priority="1" operator="containsText" text="_cam_">
      <formula>NOT(ISERROR(SEARCH("_cam_",A53)))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sheetPr codeName="Sheet5"/>
  <dimension ref="A1:F148"/>
  <sheetViews>
    <sheetView workbookViewId="0"/>
  </sheetViews>
  <sheetFormatPr defaultRowHeight="14.25"/>
  <cols>
    <col min="1" max="1" width="51.75" customWidth="1"/>
    <col min="2" max="2" width="48.5" customWidth="1"/>
    <col min="5" max="5" width="51" style="14" customWidth="1"/>
    <col min="6" max="6" width="25.25" customWidth="1"/>
  </cols>
  <sheetData>
    <row r="1" spans="1:6" ht="15">
      <c r="A1" t="s">
        <v>470</v>
      </c>
      <c r="E1" s="13" t="s">
        <v>330</v>
      </c>
      <c r="F1" s="11" t="s">
        <v>282</v>
      </c>
    </row>
    <row r="2" spans="1:6" ht="15">
      <c r="A2" t="s">
        <v>469</v>
      </c>
      <c r="E2" s="13" t="s">
        <v>491</v>
      </c>
      <c r="F2" s="11" t="s">
        <v>491</v>
      </c>
    </row>
    <row r="3" spans="1:6">
      <c r="E3" s="14" t="s">
        <v>506</v>
      </c>
      <c r="F3" t="s">
        <v>505</v>
      </c>
    </row>
    <row r="4" spans="1:6">
      <c r="E4" s="14" t="s">
        <v>508</v>
      </c>
      <c r="F4" s="14" t="s">
        <v>507</v>
      </c>
    </row>
    <row r="5" spans="1:6">
      <c r="E5" s="14" t="s">
        <v>510</v>
      </c>
      <c r="F5" t="s">
        <v>509</v>
      </c>
    </row>
    <row r="6" spans="1:6">
      <c r="A6" t="s">
        <v>1076</v>
      </c>
      <c r="B6" s="12" t="s">
        <v>568</v>
      </c>
      <c r="E6" s="14" t="s">
        <v>512</v>
      </c>
      <c r="F6" t="s">
        <v>511</v>
      </c>
    </row>
    <row r="7" spans="1:6">
      <c r="A7" t="s">
        <v>1077</v>
      </c>
      <c r="B7" s="12" t="s">
        <v>1078</v>
      </c>
      <c r="E7" s="14" t="s">
        <v>514</v>
      </c>
      <c r="F7" t="s">
        <v>513</v>
      </c>
    </row>
    <row r="8" spans="1:6">
      <c r="A8" s="15" t="s">
        <v>1082</v>
      </c>
      <c r="B8" s="12" t="s">
        <v>572</v>
      </c>
      <c r="E8" s="14" t="s">
        <v>516</v>
      </c>
      <c r="F8" t="s">
        <v>515</v>
      </c>
    </row>
    <row r="9" spans="1:6">
      <c r="A9" s="15" t="s">
        <v>1203</v>
      </c>
      <c r="B9" s="12" t="s">
        <v>573</v>
      </c>
      <c r="E9" s="14" t="s">
        <v>1206</v>
      </c>
      <c r="F9" t="s">
        <v>517</v>
      </c>
    </row>
    <row r="10" spans="1:6">
      <c r="E10" s="14" t="s">
        <v>519</v>
      </c>
      <c r="F10" t="s">
        <v>518</v>
      </c>
    </row>
    <row r="11" spans="1:6">
      <c r="A11" t="s">
        <v>1079</v>
      </c>
      <c r="E11" s="14" t="s">
        <v>521</v>
      </c>
      <c r="F11" t="s">
        <v>520</v>
      </c>
    </row>
    <row r="12" spans="1:6">
      <c r="E12" s="14" t="s">
        <v>1040</v>
      </c>
      <c r="F12" t="s">
        <v>1041</v>
      </c>
    </row>
    <row r="13" spans="1:6">
      <c r="E13" s="14" t="s">
        <v>523</v>
      </c>
      <c r="F13" t="s">
        <v>1017</v>
      </c>
    </row>
    <row r="14" spans="1:6">
      <c r="A14" s="12"/>
      <c r="B14" s="12"/>
      <c r="E14" s="14" t="s">
        <v>1020</v>
      </c>
      <c r="F14" t="s">
        <v>505</v>
      </c>
    </row>
    <row r="15" spans="1:6">
      <c r="A15" s="12"/>
      <c r="B15" s="12"/>
      <c r="E15" s="14" t="s">
        <v>1026</v>
      </c>
      <c r="F15" t="s">
        <v>507</v>
      </c>
    </row>
    <row r="16" spans="1:6">
      <c r="E16" s="14" t="s">
        <v>1027</v>
      </c>
      <c r="F16" t="s">
        <v>509</v>
      </c>
    </row>
    <row r="17" spans="1:6">
      <c r="E17" s="14" t="s">
        <v>1028</v>
      </c>
      <c r="F17" t="s">
        <v>511</v>
      </c>
    </row>
    <row r="18" spans="1:6">
      <c r="E18" s="14" t="s">
        <v>1029</v>
      </c>
      <c r="F18" t="s">
        <v>513</v>
      </c>
    </row>
    <row r="19" spans="1:6" ht="15">
      <c r="A19" s="22" t="s">
        <v>1204</v>
      </c>
      <c r="E19" s="14" t="s">
        <v>1030</v>
      </c>
      <c r="F19" t="s">
        <v>515</v>
      </c>
    </row>
    <row r="20" spans="1:6">
      <c r="E20" s="14" t="s">
        <v>1021</v>
      </c>
      <c r="F20" t="s">
        <v>517</v>
      </c>
    </row>
    <row r="21" spans="1:6">
      <c r="E21" s="14" t="s">
        <v>1022</v>
      </c>
      <c r="F21" t="s">
        <v>518</v>
      </c>
    </row>
    <row r="22" spans="1:6">
      <c r="E22" s="14" t="s">
        <v>1023</v>
      </c>
      <c r="F22" t="s">
        <v>520</v>
      </c>
    </row>
    <row r="23" spans="1:6">
      <c r="E23" s="14" t="s">
        <v>1024</v>
      </c>
      <c r="F23" t="s">
        <v>522</v>
      </c>
    </row>
    <row r="24" spans="1:6">
      <c r="E24" s="14" t="s">
        <v>1025</v>
      </c>
      <c r="F24" t="s">
        <v>1017</v>
      </c>
    </row>
    <row r="25" spans="1:6">
      <c r="E25" s="14" t="s">
        <v>1068</v>
      </c>
      <c r="F25" t="s">
        <v>1071</v>
      </c>
    </row>
    <row r="26" spans="1:6">
      <c r="E26" s="14" t="s">
        <v>1069</v>
      </c>
      <c r="F26" t="s">
        <v>1072</v>
      </c>
    </row>
    <row r="27" spans="1:6">
      <c r="E27" s="14" t="s">
        <v>1070</v>
      </c>
      <c r="F27" t="s">
        <v>1073</v>
      </c>
    </row>
    <row r="28" spans="1:6">
      <c r="E28" s="14" t="s">
        <v>1074</v>
      </c>
      <c r="F28" t="s">
        <v>1075</v>
      </c>
    </row>
    <row r="29" spans="1:6">
      <c r="E29" s="14" t="s">
        <v>1102</v>
      </c>
      <c r="F29" t="s">
        <v>1071</v>
      </c>
    </row>
    <row r="30" spans="1:6">
      <c r="E30" s="14" t="s">
        <v>1101</v>
      </c>
      <c r="F30" t="s">
        <v>1072</v>
      </c>
    </row>
    <row r="31" spans="1:6">
      <c r="E31" s="14" t="s">
        <v>1100</v>
      </c>
      <c r="F31" t="s">
        <v>1073</v>
      </c>
    </row>
    <row r="32" spans="1:6">
      <c r="E32" s="14" t="s">
        <v>1099</v>
      </c>
      <c r="F32" t="s">
        <v>1075</v>
      </c>
    </row>
    <row r="33" spans="5:6">
      <c r="E33" s="14" t="s">
        <v>1085</v>
      </c>
      <c r="F33" t="s">
        <v>966</v>
      </c>
    </row>
    <row r="34" spans="5:6">
      <c r="E34" s="14" t="s">
        <v>1086</v>
      </c>
      <c r="F34" t="s">
        <v>967</v>
      </c>
    </row>
    <row r="35" spans="5:6">
      <c r="E35" s="14" t="s">
        <v>1087</v>
      </c>
      <c r="F35" t="s">
        <v>1084</v>
      </c>
    </row>
    <row r="36" spans="5:6">
      <c r="E36" s="14" t="s">
        <v>1088</v>
      </c>
      <c r="F36" t="s">
        <v>968</v>
      </c>
    </row>
    <row r="37" spans="5:6">
      <c r="E37" s="14" t="s">
        <v>1091</v>
      </c>
      <c r="F37" t="s">
        <v>969</v>
      </c>
    </row>
    <row r="38" spans="5:6">
      <c r="E38" s="14" t="s">
        <v>1089</v>
      </c>
      <c r="F38" t="s">
        <v>970</v>
      </c>
    </row>
    <row r="39" spans="5:6">
      <c r="E39" s="14" t="s">
        <v>1090</v>
      </c>
      <c r="F39" t="s">
        <v>971</v>
      </c>
    </row>
    <row r="40" spans="5:6">
      <c r="E40" s="14" t="s">
        <v>1092</v>
      </c>
      <c r="F40" t="s">
        <v>966</v>
      </c>
    </row>
    <row r="41" spans="5:6">
      <c r="E41" s="14" t="s">
        <v>1093</v>
      </c>
      <c r="F41" t="s">
        <v>967</v>
      </c>
    </row>
    <row r="42" spans="5:6">
      <c r="E42" s="14" t="s">
        <v>1094</v>
      </c>
      <c r="F42" t="s">
        <v>1084</v>
      </c>
    </row>
    <row r="43" spans="5:6">
      <c r="E43" s="14" t="s">
        <v>1095</v>
      </c>
      <c r="F43" t="s">
        <v>968</v>
      </c>
    </row>
    <row r="44" spans="5:6">
      <c r="E44" s="14" t="s">
        <v>1096</v>
      </c>
      <c r="F44" t="s">
        <v>969</v>
      </c>
    </row>
    <row r="45" spans="5:6">
      <c r="E45" s="14" t="s">
        <v>1097</v>
      </c>
      <c r="F45" t="s">
        <v>970</v>
      </c>
    </row>
    <row r="46" spans="5:6">
      <c r="E46" s="14" t="s">
        <v>1098</v>
      </c>
      <c r="F46" t="s">
        <v>971</v>
      </c>
    </row>
    <row r="47" spans="5:6">
      <c r="E47" s="14" t="s">
        <v>1103</v>
      </c>
      <c r="F47" t="s">
        <v>1083</v>
      </c>
    </row>
    <row r="48" spans="5:6">
      <c r="E48" s="14" t="s">
        <v>1108</v>
      </c>
      <c r="F48" t="s">
        <v>1083</v>
      </c>
    </row>
    <row r="49" spans="5:6">
      <c r="E49" s="14" t="s">
        <v>1113</v>
      </c>
      <c r="F49" t="s">
        <v>1083</v>
      </c>
    </row>
    <row r="50" spans="5:6">
      <c r="E50" s="14" t="s">
        <v>1118</v>
      </c>
      <c r="F50" t="s">
        <v>1083</v>
      </c>
    </row>
    <row r="51" spans="5:6">
      <c r="E51" s="14" t="s">
        <v>1123</v>
      </c>
      <c r="F51" t="s">
        <v>1083</v>
      </c>
    </row>
    <row r="52" spans="5:6">
      <c r="E52" s="14" t="s">
        <v>1128</v>
      </c>
      <c r="F52" t="s">
        <v>1083</v>
      </c>
    </row>
    <row r="53" spans="5:6">
      <c r="E53" s="14" t="s">
        <v>1133</v>
      </c>
      <c r="F53" t="s">
        <v>1083</v>
      </c>
    </row>
    <row r="54" spans="5:6">
      <c r="E54" s="14" t="s">
        <v>1138</v>
      </c>
      <c r="F54" t="s">
        <v>1083</v>
      </c>
    </row>
    <row r="55" spans="5:6">
      <c r="E55" s="14" t="s">
        <v>1143</v>
      </c>
      <c r="F55" t="s">
        <v>1083</v>
      </c>
    </row>
    <row r="56" spans="5:6">
      <c r="E56" s="14" t="s">
        <v>1148</v>
      </c>
      <c r="F56" t="s">
        <v>1083</v>
      </c>
    </row>
    <row r="57" spans="5:6">
      <c r="E57" s="14" t="s">
        <v>1153</v>
      </c>
      <c r="F57" t="s">
        <v>1083</v>
      </c>
    </row>
    <row r="58" spans="5:6">
      <c r="E58" s="14" t="s">
        <v>1158</v>
      </c>
      <c r="F58" t="s">
        <v>1083</v>
      </c>
    </row>
    <row r="59" spans="5:6">
      <c r="E59" s="14" t="s">
        <v>1163</v>
      </c>
      <c r="F59" t="s">
        <v>1083</v>
      </c>
    </row>
    <row r="60" spans="5:6">
      <c r="E60" s="14" t="s">
        <v>1168</v>
      </c>
      <c r="F60" t="s">
        <v>1083</v>
      </c>
    </row>
    <row r="61" spans="5:6">
      <c r="E61" s="14" t="s">
        <v>1173</v>
      </c>
      <c r="F61" t="s">
        <v>1083</v>
      </c>
    </row>
    <row r="62" spans="5:6">
      <c r="E62" s="14" t="s">
        <v>1178</v>
      </c>
      <c r="F62" t="s">
        <v>1083</v>
      </c>
    </row>
    <row r="63" spans="5:6">
      <c r="E63" s="14" t="s">
        <v>1183</v>
      </c>
      <c r="F63" t="s">
        <v>1083</v>
      </c>
    </row>
    <row r="64" spans="5:6">
      <c r="E64" s="14" t="s">
        <v>1188</v>
      </c>
      <c r="F64" t="s">
        <v>1083</v>
      </c>
    </row>
    <row r="65" spans="5:6">
      <c r="E65" s="14" t="s">
        <v>1193</v>
      </c>
      <c r="F65" t="s">
        <v>1083</v>
      </c>
    </row>
    <row r="66" spans="5:6">
      <c r="E66" s="14" t="s">
        <v>1198</v>
      </c>
      <c r="F66" t="s">
        <v>1083</v>
      </c>
    </row>
    <row r="67" spans="5:6">
      <c r="E67" s="14" t="s">
        <v>1104</v>
      </c>
      <c r="F67" t="s">
        <v>1083</v>
      </c>
    </row>
    <row r="68" spans="5:6">
      <c r="E68" s="14" t="s">
        <v>1109</v>
      </c>
      <c r="F68" t="s">
        <v>1083</v>
      </c>
    </row>
    <row r="69" spans="5:6">
      <c r="E69" s="14" t="s">
        <v>1114</v>
      </c>
      <c r="F69" t="s">
        <v>1083</v>
      </c>
    </row>
    <row r="70" spans="5:6">
      <c r="E70" s="14" t="s">
        <v>1119</v>
      </c>
      <c r="F70" t="s">
        <v>1083</v>
      </c>
    </row>
    <row r="71" spans="5:6">
      <c r="E71" s="14" t="s">
        <v>1124</v>
      </c>
      <c r="F71" t="s">
        <v>1083</v>
      </c>
    </row>
    <row r="72" spans="5:6">
      <c r="E72" s="14" t="s">
        <v>1129</v>
      </c>
      <c r="F72" t="s">
        <v>1083</v>
      </c>
    </row>
    <row r="73" spans="5:6">
      <c r="E73" s="14" t="s">
        <v>1134</v>
      </c>
      <c r="F73" t="s">
        <v>1083</v>
      </c>
    </row>
    <row r="74" spans="5:6">
      <c r="E74" s="14" t="s">
        <v>1139</v>
      </c>
      <c r="F74" t="s">
        <v>1083</v>
      </c>
    </row>
    <row r="75" spans="5:6">
      <c r="E75" s="14" t="s">
        <v>1144</v>
      </c>
      <c r="F75" t="s">
        <v>1083</v>
      </c>
    </row>
    <row r="76" spans="5:6">
      <c r="E76" s="14" t="s">
        <v>1149</v>
      </c>
      <c r="F76" t="s">
        <v>1083</v>
      </c>
    </row>
    <row r="77" spans="5:6">
      <c r="E77" s="14" t="s">
        <v>1154</v>
      </c>
      <c r="F77" t="s">
        <v>1083</v>
      </c>
    </row>
    <row r="78" spans="5:6">
      <c r="E78" s="14" t="s">
        <v>1159</v>
      </c>
      <c r="F78" t="s">
        <v>1083</v>
      </c>
    </row>
    <row r="79" spans="5:6">
      <c r="E79" s="14" t="s">
        <v>1164</v>
      </c>
      <c r="F79" t="s">
        <v>1083</v>
      </c>
    </row>
    <row r="80" spans="5:6">
      <c r="E80" s="14" t="s">
        <v>1169</v>
      </c>
      <c r="F80" t="s">
        <v>1083</v>
      </c>
    </row>
    <row r="81" spans="5:6">
      <c r="E81" s="14" t="s">
        <v>1174</v>
      </c>
      <c r="F81" t="s">
        <v>1083</v>
      </c>
    </row>
    <row r="82" spans="5:6">
      <c r="E82" s="14" t="s">
        <v>1179</v>
      </c>
      <c r="F82" t="s">
        <v>1083</v>
      </c>
    </row>
    <row r="83" spans="5:6">
      <c r="E83" s="14" t="s">
        <v>1184</v>
      </c>
      <c r="F83" t="s">
        <v>1083</v>
      </c>
    </row>
    <row r="84" spans="5:6">
      <c r="E84" s="14" t="s">
        <v>1189</v>
      </c>
      <c r="F84" t="s">
        <v>1083</v>
      </c>
    </row>
    <row r="85" spans="5:6">
      <c r="E85" s="14" t="s">
        <v>1194</v>
      </c>
      <c r="F85" t="s">
        <v>1083</v>
      </c>
    </row>
    <row r="86" spans="5:6">
      <c r="E86" s="14" t="s">
        <v>1199</v>
      </c>
      <c r="F86" t="s">
        <v>1083</v>
      </c>
    </row>
    <row r="87" spans="5:6">
      <c r="E87" s="14" t="s">
        <v>1105</v>
      </c>
      <c r="F87" t="s">
        <v>1083</v>
      </c>
    </row>
    <row r="88" spans="5:6">
      <c r="E88" s="14" t="s">
        <v>1110</v>
      </c>
      <c r="F88" t="s">
        <v>1083</v>
      </c>
    </row>
    <row r="89" spans="5:6">
      <c r="E89" s="14" t="s">
        <v>1115</v>
      </c>
      <c r="F89" t="s">
        <v>1083</v>
      </c>
    </row>
    <row r="90" spans="5:6">
      <c r="E90" s="14" t="s">
        <v>1120</v>
      </c>
      <c r="F90" t="s">
        <v>1083</v>
      </c>
    </row>
    <row r="91" spans="5:6">
      <c r="E91" s="14" t="s">
        <v>1125</v>
      </c>
      <c r="F91" t="s">
        <v>1083</v>
      </c>
    </row>
    <row r="92" spans="5:6">
      <c r="E92" s="14" t="s">
        <v>1130</v>
      </c>
      <c r="F92" t="s">
        <v>1083</v>
      </c>
    </row>
    <row r="93" spans="5:6">
      <c r="E93" s="14" t="s">
        <v>1135</v>
      </c>
      <c r="F93" t="s">
        <v>1083</v>
      </c>
    </row>
    <row r="94" spans="5:6">
      <c r="E94" s="14" t="s">
        <v>1140</v>
      </c>
      <c r="F94" t="s">
        <v>1083</v>
      </c>
    </row>
    <row r="95" spans="5:6">
      <c r="E95" s="14" t="s">
        <v>1145</v>
      </c>
      <c r="F95" t="s">
        <v>1083</v>
      </c>
    </row>
    <row r="96" spans="5:6">
      <c r="E96" s="14" t="s">
        <v>1150</v>
      </c>
      <c r="F96" t="s">
        <v>1083</v>
      </c>
    </row>
    <row r="97" spans="5:6">
      <c r="E97" s="14" t="s">
        <v>1155</v>
      </c>
      <c r="F97" t="s">
        <v>1083</v>
      </c>
    </row>
    <row r="98" spans="5:6">
      <c r="E98" s="14" t="s">
        <v>1160</v>
      </c>
      <c r="F98" t="s">
        <v>1083</v>
      </c>
    </row>
    <row r="99" spans="5:6">
      <c r="E99" s="14" t="s">
        <v>1165</v>
      </c>
      <c r="F99" t="s">
        <v>1083</v>
      </c>
    </row>
    <row r="100" spans="5:6">
      <c r="E100" s="14" t="s">
        <v>1170</v>
      </c>
      <c r="F100" t="s">
        <v>1083</v>
      </c>
    </row>
    <row r="101" spans="5:6">
      <c r="E101" s="14" t="s">
        <v>1175</v>
      </c>
      <c r="F101" t="s">
        <v>1083</v>
      </c>
    </row>
    <row r="102" spans="5:6">
      <c r="E102" s="14" t="s">
        <v>1180</v>
      </c>
      <c r="F102" t="s">
        <v>1083</v>
      </c>
    </row>
    <row r="103" spans="5:6">
      <c r="E103" s="14" t="s">
        <v>1185</v>
      </c>
      <c r="F103" t="s">
        <v>1083</v>
      </c>
    </row>
    <row r="104" spans="5:6">
      <c r="E104" s="14" t="s">
        <v>1190</v>
      </c>
      <c r="F104" t="s">
        <v>1083</v>
      </c>
    </row>
    <row r="105" spans="5:6">
      <c r="E105" s="14" t="s">
        <v>1195</v>
      </c>
      <c r="F105" t="s">
        <v>1083</v>
      </c>
    </row>
    <row r="106" spans="5:6">
      <c r="E106" s="14" t="s">
        <v>1200</v>
      </c>
      <c r="F106" t="s">
        <v>1083</v>
      </c>
    </row>
    <row r="107" spans="5:6">
      <c r="E107" s="14" t="s">
        <v>1106</v>
      </c>
      <c r="F107" t="s">
        <v>1083</v>
      </c>
    </row>
    <row r="108" spans="5:6">
      <c r="E108" s="14" t="s">
        <v>1111</v>
      </c>
      <c r="F108" t="s">
        <v>1083</v>
      </c>
    </row>
    <row r="109" spans="5:6">
      <c r="E109" s="14" t="s">
        <v>1116</v>
      </c>
      <c r="F109" t="s">
        <v>1083</v>
      </c>
    </row>
    <row r="110" spans="5:6">
      <c r="E110" s="14" t="s">
        <v>1121</v>
      </c>
      <c r="F110" t="s">
        <v>1083</v>
      </c>
    </row>
    <row r="111" spans="5:6">
      <c r="E111" s="14" t="s">
        <v>1126</v>
      </c>
      <c r="F111" t="s">
        <v>1083</v>
      </c>
    </row>
    <row r="112" spans="5:6">
      <c r="E112" s="14" t="s">
        <v>1131</v>
      </c>
      <c r="F112" t="s">
        <v>1083</v>
      </c>
    </row>
    <row r="113" spans="5:6">
      <c r="E113" s="14" t="s">
        <v>1136</v>
      </c>
      <c r="F113" t="s">
        <v>1083</v>
      </c>
    </row>
    <row r="114" spans="5:6">
      <c r="E114" s="14" t="s">
        <v>1141</v>
      </c>
      <c r="F114" t="s">
        <v>1083</v>
      </c>
    </row>
    <row r="115" spans="5:6">
      <c r="E115" s="14" t="s">
        <v>1146</v>
      </c>
      <c r="F115" t="s">
        <v>1083</v>
      </c>
    </row>
    <row r="116" spans="5:6">
      <c r="E116" s="14" t="s">
        <v>1151</v>
      </c>
      <c r="F116" t="s">
        <v>1083</v>
      </c>
    </row>
    <row r="117" spans="5:6">
      <c r="E117" s="14" t="s">
        <v>1156</v>
      </c>
      <c r="F117" t="s">
        <v>1083</v>
      </c>
    </row>
    <row r="118" spans="5:6">
      <c r="E118" s="14" t="s">
        <v>1161</v>
      </c>
      <c r="F118" t="s">
        <v>1083</v>
      </c>
    </row>
    <row r="119" spans="5:6">
      <c r="E119" s="14" t="s">
        <v>1166</v>
      </c>
      <c r="F119" t="s">
        <v>1083</v>
      </c>
    </row>
    <row r="120" spans="5:6">
      <c r="E120" s="14" t="s">
        <v>1171</v>
      </c>
      <c r="F120" t="s">
        <v>1083</v>
      </c>
    </row>
    <row r="121" spans="5:6">
      <c r="E121" s="14" t="s">
        <v>1176</v>
      </c>
      <c r="F121" t="s">
        <v>1083</v>
      </c>
    </row>
    <row r="122" spans="5:6">
      <c r="E122" s="14" t="s">
        <v>1181</v>
      </c>
      <c r="F122" t="s">
        <v>1083</v>
      </c>
    </row>
    <row r="123" spans="5:6">
      <c r="E123" s="14" t="s">
        <v>1186</v>
      </c>
      <c r="F123" t="s">
        <v>1083</v>
      </c>
    </row>
    <row r="124" spans="5:6">
      <c r="E124" s="14" t="s">
        <v>1191</v>
      </c>
      <c r="F124" t="s">
        <v>1083</v>
      </c>
    </row>
    <row r="125" spans="5:6">
      <c r="E125" s="14" t="s">
        <v>1196</v>
      </c>
      <c r="F125" t="s">
        <v>1083</v>
      </c>
    </row>
    <row r="126" spans="5:6">
      <c r="E126" s="14" t="s">
        <v>1201</v>
      </c>
      <c r="F126" t="s">
        <v>1083</v>
      </c>
    </row>
    <row r="127" spans="5:6">
      <c r="E127" s="14" t="s">
        <v>1107</v>
      </c>
      <c r="F127" t="s">
        <v>1083</v>
      </c>
    </row>
    <row r="128" spans="5:6">
      <c r="E128" s="14" t="s">
        <v>1112</v>
      </c>
      <c r="F128" t="s">
        <v>1083</v>
      </c>
    </row>
    <row r="129" spans="5:6">
      <c r="E129" s="14" t="s">
        <v>1117</v>
      </c>
      <c r="F129" t="s">
        <v>1083</v>
      </c>
    </row>
    <row r="130" spans="5:6">
      <c r="E130" s="14" t="s">
        <v>1122</v>
      </c>
      <c r="F130" t="s">
        <v>1083</v>
      </c>
    </row>
    <row r="131" spans="5:6">
      <c r="E131" s="14" t="s">
        <v>1127</v>
      </c>
      <c r="F131" t="s">
        <v>1083</v>
      </c>
    </row>
    <row r="132" spans="5:6">
      <c r="E132" s="14" t="s">
        <v>1132</v>
      </c>
      <c r="F132" t="s">
        <v>1083</v>
      </c>
    </row>
    <row r="133" spans="5:6">
      <c r="E133" s="14" t="s">
        <v>1137</v>
      </c>
      <c r="F133" t="s">
        <v>1083</v>
      </c>
    </row>
    <row r="134" spans="5:6">
      <c r="E134" s="14" t="s">
        <v>1142</v>
      </c>
      <c r="F134" t="s">
        <v>1083</v>
      </c>
    </row>
    <row r="135" spans="5:6">
      <c r="E135" s="14" t="s">
        <v>1147</v>
      </c>
      <c r="F135" t="s">
        <v>1083</v>
      </c>
    </row>
    <row r="136" spans="5:6">
      <c r="E136" s="14" t="s">
        <v>1152</v>
      </c>
      <c r="F136" t="s">
        <v>1083</v>
      </c>
    </row>
    <row r="137" spans="5:6">
      <c r="E137" s="14" t="s">
        <v>1157</v>
      </c>
      <c r="F137" t="s">
        <v>1083</v>
      </c>
    </row>
    <row r="138" spans="5:6">
      <c r="E138" s="14" t="s">
        <v>1162</v>
      </c>
      <c r="F138" t="s">
        <v>1083</v>
      </c>
    </row>
    <row r="139" spans="5:6">
      <c r="E139" s="14" t="s">
        <v>1167</v>
      </c>
      <c r="F139" t="s">
        <v>1083</v>
      </c>
    </row>
    <row r="140" spans="5:6">
      <c r="E140" s="14" t="s">
        <v>1172</v>
      </c>
      <c r="F140" t="s">
        <v>1083</v>
      </c>
    </row>
    <row r="141" spans="5:6">
      <c r="E141" s="14" t="s">
        <v>1177</v>
      </c>
      <c r="F141" t="s">
        <v>1083</v>
      </c>
    </row>
    <row r="142" spans="5:6">
      <c r="E142" s="14" t="s">
        <v>1182</v>
      </c>
      <c r="F142" t="s">
        <v>1083</v>
      </c>
    </row>
    <row r="143" spans="5:6">
      <c r="E143" s="14" t="s">
        <v>1187</v>
      </c>
      <c r="F143" t="s">
        <v>1083</v>
      </c>
    </row>
    <row r="144" spans="5:6">
      <c r="E144" s="14" t="s">
        <v>1192</v>
      </c>
      <c r="F144" t="s">
        <v>1083</v>
      </c>
    </row>
    <row r="145" spans="5:6">
      <c r="E145" s="14" t="s">
        <v>1197</v>
      </c>
      <c r="F145" t="s">
        <v>1083</v>
      </c>
    </row>
    <row r="146" spans="5:6">
      <c r="E146" s="14" t="s">
        <v>1202</v>
      </c>
      <c r="F146" t="s">
        <v>1083</v>
      </c>
    </row>
    <row r="147" spans="5:6">
      <c r="E147" s="14" t="s">
        <v>1205</v>
      </c>
      <c r="F147" t="s">
        <v>1083</v>
      </c>
    </row>
    <row r="148" spans="5:6">
      <c r="E148" s="14" t="s">
        <v>491</v>
      </c>
      <c r="F148" t="s">
        <v>491</v>
      </c>
    </row>
  </sheetData>
  <conditionalFormatting sqref="E2">
    <cfRule type="containsText" dxfId="8" priority="3" operator="containsText" text="_cam_">
      <formula>NOT(ISERROR(SEARCH("_cam_",E2)))</formula>
    </cfRule>
  </conditionalFormatting>
  <conditionalFormatting sqref="E2:F2">
    <cfRule type="containsText" dxfId="7" priority="2" operator="containsText" text="_cam_">
      <formula>NOT(ISERROR(SEARCH("_cam_",E2)))</formula>
    </cfRule>
  </conditionalFormatting>
  <conditionalFormatting sqref="F2">
    <cfRule type="containsText" dxfId="6" priority="1" operator="containsText" text="_cam_">
      <formula>NOT(ISERROR(SEARCH("_cam_",F2)))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6AB39-DB87-419B-A2E5-3972991F2028}">
  <sheetPr codeName="Sheet3"/>
  <dimension ref="A1:J48"/>
  <sheetViews>
    <sheetView workbookViewId="0">
      <selection activeCell="E12" sqref="E12"/>
    </sheetView>
  </sheetViews>
  <sheetFormatPr defaultRowHeight="14.25"/>
  <cols>
    <col min="1" max="1" width="16.125" customWidth="1"/>
    <col min="2" max="2" width="28.25" customWidth="1"/>
    <col min="4" max="4" width="28.25" customWidth="1"/>
    <col min="5" max="5" width="18.75" customWidth="1"/>
    <col min="6" max="7" width="16.875" customWidth="1"/>
    <col min="8" max="8" width="27.375" customWidth="1"/>
    <col min="9" max="9" width="18.625" customWidth="1"/>
  </cols>
  <sheetData>
    <row r="1" spans="1:10" ht="15">
      <c r="A1" s="3" t="s">
        <v>424</v>
      </c>
      <c r="B1" s="9" t="s">
        <v>429</v>
      </c>
      <c r="C1" s="1" t="s">
        <v>425</v>
      </c>
      <c r="D1" s="2" t="s">
        <v>428</v>
      </c>
      <c r="E1" s="7" t="s">
        <v>424</v>
      </c>
      <c r="F1" s="7" t="s">
        <v>425</v>
      </c>
      <c r="G1" s="7" t="s">
        <v>425</v>
      </c>
      <c r="H1" s="1" t="s">
        <v>425</v>
      </c>
    </row>
    <row r="2" spans="1:10" ht="15">
      <c r="A2" s="3" t="s">
        <v>477</v>
      </c>
      <c r="B2" s="1" t="s">
        <v>430</v>
      </c>
      <c r="C2" t="s">
        <v>426</v>
      </c>
      <c r="D2" s="1" t="s">
        <v>339</v>
      </c>
      <c r="E2" s="5" t="s">
        <v>321</v>
      </c>
      <c r="F2" s="7" t="str">
        <f t="shared" ref="F2:F47" si="0">". "&amp;E2</f>
        <v>. Adult</v>
      </c>
      <c r="G2" s="6" t="str">
        <f t="shared" ref="G2:G47" si="1">E2&amp;"."</f>
        <v>Adult.</v>
      </c>
      <c r="H2" s="1" t="str">
        <f t="shared" ref="H2:H47" si="2">"{{ "&amp;C2&amp;"_"&amp;D2&amp;" }}"&amp;"."</f>
        <v>{{ tu_age_class_adult }}.</v>
      </c>
      <c r="I2" t="str">
        <f>PROPER(G2)</f>
        <v>Adult.</v>
      </c>
      <c r="J2" t="str">
        <f>"{{ tu_"&amp;D2&amp;" }}"&amp;"."</f>
        <v>{{ tu_age_class_adult }}.</v>
      </c>
    </row>
    <row r="3" spans="1:10" ht="15">
      <c r="A3" s="3" t="s">
        <v>477</v>
      </c>
      <c r="B3" s="1" t="s">
        <v>430</v>
      </c>
      <c r="C3" t="s">
        <v>426</v>
      </c>
      <c r="D3" s="1" t="s">
        <v>343</v>
      </c>
      <c r="E3" s="5" t="s">
        <v>322</v>
      </c>
      <c r="F3" s="7" t="str">
        <f t="shared" si="0"/>
        <v>. Juvenile</v>
      </c>
      <c r="G3" s="6" t="str">
        <f t="shared" si="1"/>
        <v>Juvenile.</v>
      </c>
      <c r="H3" s="1" t="str">
        <f t="shared" si="2"/>
        <v>{{ tu_age_class_juvenile }}.</v>
      </c>
      <c r="I3" t="str">
        <f t="shared" ref="I3:I21" si="3">PROPER(G3)</f>
        <v>Juvenile.</v>
      </c>
      <c r="J3" t="str">
        <f t="shared" ref="J3:J21" si="4">"{{ tu_"&amp;D3&amp;" }}"&amp;"."</f>
        <v>{{ tu_age_class_juvenile }}.</v>
      </c>
    </row>
    <row r="4" spans="1:10" ht="15">
      <c r="A4" s="3" t="s">
        <v>477</v>
      </c>
      <c r="B4" s="1" t="s">
        <v>430</v>
      </c>
      <c r="C4" t="s">
        <v>426</v>
      </c>
      <c r="D4" s="1" t="s">
        <v>349</v>
      </c>
      <c r="E4" s="5" t="s">
        <v>323</v>
      </c>
      <c r="F4" s="7" t="str">
        <f t="shared" si="0"/>
        <v>. Subadult</v>
      </c>
      <c r="G4" s="6" t="str">
        <f t="shared" si="1"/>
        <v>Subadult.</v>
      </c>
      <c r="H4" s="1" t="str">
        <f t="shared" si="2"/>
        <v>{{ tu_age_class_subadult }}.</v>
      </c>
      <c r="I4" t="str">
        <f t="shared" si="3"/>
        <v>Subadult.</v>
      </c>
      <c r="J4" t="str">
        <f t="shared" si="4"/>
        <v>{{ tu_age_class_subadult }}.</v>
      </c>
    </row>
    <row r="5" spans="1:10" ht="15">
      <c r="A5" s="3" t="s">
        <v>477</v>
      </c>
      <c r="B5" s="1" t="s">
        <v>420</v>
      </c>
      <c r="C5" t="s">
        <v>426</v>
      </c>
      <c r="D5" s="1" t="s">
        <v>340</v>
      </c>
      <c r="E5" s="5" t="s">
        <v>318</v>
      </c>
      <c r="F5" s="7" t="str">
        <f t="shared" si="0"/>
        <v>. Analyst</v>
      </c>
      <c r="G5" s="6" t="str">
        <f t="shared" si="1"/>
        <v>Analyst.</v>
      </c>
      <c r="H5" s="1" t="str">
        <f t="shared" si="2"/>
        <v>{{ tu_analyst }}.</v>
      </c>
      <c r="I5" t="str">
        <f t="shared" si="3"/>
        <v>Analyst.</v>
      </c>
      <c r="J5" t="str">
        <f t="shared" si="4"/>
        <v>{{ tu_analyst }}.</v>
      </c>
    </row>
    <row r="6" spans="1:10">
      <c r="A6" s="3" t="s">
        <v>477</v>
      </c>
      <c r="B6" s="1" t="s">
        <v>421</v>
      </c>
      <c r="C6" s="1" t="s">
        <v>427</v>
      </c>
      <c r="D6" s="1" t="s">
        <v>341</v>
      </c>
      <c r="E6" s="6" t="s">
        <v>297</v>
      </c>
      <c r="F6" s="7" t="str">
        <f t="shared" si="0"/>
        <v>. bait</v>
      </c>
      <c r="G6" s="6" t="str">
        <f t="shared" si="1"/>
        <v>bait.</v>
      </c>
      <c r="H6" s="1" t="str">
        <f t="shared" si="2"/>
        <v>{{ tl_baitlure_bait }}.</v>
      </c>
      <c r="I6" t="str">
        <f t="shared" si="3"/>
        <v>Bait.</v>
      </c>
      <c r="J6" t="str">
        <f t="shared" si="4"/>
        <v>{{ tu_baitlure_bait }}.</v>
      </c>
    </row>
    <row r="7" spans="1:10">
      <c r="A7" s="3" t="s">
        <v>477</v>
      </c>
      <c r="B7" s="1" t="s">
        <v>421</v>
      </c>
      <c r="C7" t="s">
        <v>426</v>
      </c>
      <c r="D7" s="1" t="s">
        <v>341</v>
      </c>
      <c r="E7" s="3" t="s">
        <v>309</v>
      </c>
      <c r="F7" s="7" t="str">
        <f t="shared" si="0"/>
        <v>. Bait</v>
      </c>
      <c r="G7" s="6" t="str">
        <f t="shared" si="1"/>
        <v>Bait.</v>
      </c>
      <c r="H7" s="1" t="str">
        <f t="shared" si="2"/>
        <v>{{ tu_baitlure_bait }}.</v>
      </c>
      <c r="I7" t="str">
        <f t="shared" si="3"/>
        <v>Bait.</v>
      </c>
      <c r="J7" t="str">
        <f t="shared" si="4"/>
        <v>{{ tu_baitlure_bait }}.</v>
      </c>
    </row>
    <row r="8" spans="1:10">
      <c r="A8" s="3" t="s">
        <v>477</v>
      </c>
      <c r="B8" s="1" t="s">
        <v>421</v>
      </c>
      <c r="C8" s="1" t="s">
        <v>427</v>
      </c>
      <c r="D8" s="1" t="s">
        <v>344</v>
      </c>
      <c r="E8" s="6" t="s">
        <v>300</v>
      </c>
      <c r="F8" s="7" t="str">
        <f t="shared" si="0"/>
        <v>. lure</v>
      </c>
      <c r="G8" s="6" t="str">
        <f t="shared" si="1"/>
        <v>lure.</v>
      </c>
      <c r="H8" s="1" t="str">
        <f t="shared" si="2"/>
        <v>{{ tl_baitlure_lure }}.</v>
      </c>
      <c r="I8" t="str">
        <f t="shared" si="3"/>
        <v>Lure.</v>
      </c>
      <c r="J8" t="str">
        <f t="shared" si="4"/>
        <v>{{ tu_baitlure_lure }}.</v>
      </c>
    </row>
    <row r="9" spans="1:10">
      <c r="A9" s="3" t="s">
        <v>477</v>
      </c>
      <c r="B9" s="1" t="s">
        <v>421</v>
      </c>
      <c r="C9" t="s">
        <v>426</v>
      </c>
      <c r="D9" s="1" t="s">
        <v>344</v>
      </c>
      <c r="E9" s="1" t="s">
        <v>310</v>
      </c>
      <c r="F9" s="7" t="str">
        <f t="shared" si="0"/>
        <v>. Lure</v>
      </c>
      <c r="G9" s="6" t="str">
        <f t="shared" si="1"/>
        <v>Lure.</v>
      </c>
      <c r="H9" s="1" t="str">
        <f t="shared" si="2"/>
        <v>{{ tu_baitlure_lure }}.</v>
      </c>
      <c r="I9" t="str">
        <f t="shared" si="3"/>
        <v>Lure.</v>
      </c>
      <c r="J9" t="str">
        <f t="shared" si="4"/>
        <v>{{ tu_baitlure_lure }}.</v>
      </c>
    </row>
    <row r="10" spans="1:10">
      <c r="A10" s="3" t="s">
        <v>477</v>
      </c>
      <c r="B10" s="1" t="s">
        <v>420</v>
      </c>
      <c r="C10" s="1" t="s">
        <v>427</v>
      </c>
      <c r="D10" s="1" t="s">
        <v>298</v>
      </c>
      <c r="E10" s="6" t="s">
        <v>298</v>
      </c>
      <c r="F10" s="7" t="str">
        <f t="shared" si="0"/>
        <v>. behaviour</v>
      </c>
      <c r="G10" s="6" t="str">
        <f t="shared" si="1"/>
        <v>behaviour.</v>
      </c>
      <c r="H10" s="1" t="str">
        <f t="shared" si="2"/>
        <v>{{ tl_behaviour }}.</v>
      </c>
      <c r="I10" t="str">
        <f t="shared" si="3"/>
        <v>Behaviour.</v>
      </c>
      <c r="J10" t="str">
        <f t="shared" si="4"/>
        <v>{{ tu_behaviour }}.</v>
      </c>
    </row>
    <row r="11" spans="1:10" ht="15">
      <c r="A11" s="3" t="s">
        <v>477</v>
      </c>
      <c r="B11" s="1" t="s">
        <v>420</v>
      </c>
      <c r="C11" t="s">
        <v>426</v>
      </c>
      <c r="D11" s="1" t="s">
        <v>298</v>
      </c>
      <c r="E11" s="4" t="s">
        <v>304</v>
      </c>
      <c r="F11" s="7" t="str">
        <f t="shared" si="0"/>
        <v>. Behaviour</v>
      </c>
      <c r="G11" s="6" t="str">
        <f t="shared" si="1"/>
        <v>Behaviour.</v>
      </c>
      <c r="H11" s="1" t="str">
        <f t="shared" si="2"/>
        <v>{{ tu_behaviour }}.</v>
      </c>
      <c r="I11" t="str">
        <f t="shared" si="3"/>
        <v>Behaviour.</v>
      </c>
      <c r="J11" t="str">
        <f t="shared" si="4"/>
        <v>{{ tu_behaviour }}.</v>
      </c>
    </row>
    <row r="12" spans="1:10">
      <c r="A12" s="3" t="s">
        <v>477</v>
      </c>
      <c r="B12" s="1" t="s">
        <v>421</v>
      </c>
      <c r="C12" s="1" t="s">
        <v>427</v>
      </c>
      <c r="D12" s="1" t="s">
        <v>283</v>
      </c>
      <c r="E12" s="6" t="s">
        <v>283</v>
      </c>
      <c r="F12" s="7" t="str">
        <f t="shared" si="0"/>
        <v>. crew</v>
      </c>
      <c r="G12" s="6" t="str">
        <f t="shared" si="1"/>
        <v>crew.</v>
      </c>
      <c r="H12" s="1" t="str">
        <f t="shared" si="2"/>
        <v>{{ tl_crew }}.</v>
      </c>
      <c r="I12" t="str">
        <f t="shared" si="3"/>
        <v>Crew.</v>
      </c>
      <c r="J12" t="str">
        <f t="shared" si="4"/>
        <v>{{ tu_crew }}.</v>
      </c>
    </row>
    <row r="13" spans="1:10">
      <c r="A13" s="3" t="s">
        <v>477</v>
      </c>
      <c r="B13" s="1" t="s">
        <v>421</v>
      </c>
      <c r="C13" t="s">
        <v>426</v>
      </c>
      <c r="D13" s="1" t="s">
        <v>283</v>
      </c>
      <c r="E13" s="1" t="s">
        <v>311</v>
      </c>
      <c r="F13" s="7" t="str">
        <f t="shared" si="0"/>
        <v>. Crew</v>
      </c>
      <c r="G13" s="6" t="str">
        <f t="shared" si="1"/>
        <v>Crew.</v>
      </c>
      <c r="H13" s="1" t="str">
        <f t="shared" si="2"/>
        <v>{{ tu_crew }}.</v>
      </c>
      <c r="I13" t="str">
        <f t="shared" si="3"/>
        <v>Crew.</v>
      </c>
      <c r="J13" t="str">
        <f t="shared" si="4"/>
        <v>{{ tu_crew }}.</v>
      </c>
    </row>
    <row r="14" spans="1:10">
      <c r="A14" s="3" t="s">
        <v>477</v>
      </c>
      <c r="B14" s="1" t="s">
        <v>421</v>
      </c>
      <c r="C14" s="1" t="s">
        <v>427</v>
      </c>
      <c r="D14" s="1" t="s">
        <v>284</v>
      </c>
      <c r="E14" s="7" t="s">
        <v>284</v>
      </c>
      <c r="F14" s="7" t="str">
        <f t="shared" si="0"/>
        <v>. density</v>
      </c>
      <c r="G14" s="6" t="str">
        <f t="shared" si="1"/>
        <v>density.</v>
      </c>
      <c r="H14" s="1" t="str">
        <f t="shared" si="2"/>
        <v>{{ tl_density }}.</v>
      </c>
      <c r="I14" t="str">
        <f t="shared" si="3"/>
        <v>Density.</v>
      </c>
      <c r="J14" t="str">
        <f t="shared" si="4"/>
        <v>{{ tu_density }}.</v>
      </c>
    </row>
    <row r="15" spans="1:10">
      <c r="A15" s="3" t="s">
        <v>477</v>
      </c>
      <c r="B15" s="1" t="s">
        <v>421</v>
      </c>
      <c r="C15" t="s">
        <v>426</v>
      </c>
      <c r="D15" s="1" t="s">
        <v>284</v>
      </c>
      <c r="E15" s="8" t="s">
        <v>305</v>
      </c>
      <c r="F15" s="7" t="str">
        <f t="shared" si="0"/>
        <v>. Density</v>
      </c>
      <c r="G15" s="6" t="str">
        <f t="shared" si="1"/>
        <v>Density.</v>
      </c>
      <c r="H15" s="1" t="str">
        <f t="shared" si="2"/>
        <v>{{ tu_density }}.</v>
      </c>
      <c r="I15" t="str">
        <f t="shared" si="3"/>
        <v>Density.</v>
      </c>
      <c r="J15" t="str">
        <f t="shared" si="4"/>
        <v>{{ tu_density }}.</v>
      </c>
    </row>
    <row r="16" spans="1:10">
      <c r="A16" s="3" t="s">
        <v>477</v>
      </c>
      <c r="B16" s="1" t="s">
        <v>421</v>
      </c>
      <c r="C16" s="1" t="s">
        <v>427</v>
      </c>
      <c r="D16" s="1" t="s">
        <v>285</v>
      </c>
      <c r="E16" s="6" t="s">
        <v>285</v>
      </c>
      <c r="F16" s="7" t="str">
        <f t="shared" si="0"/>
        <v>. deployment</v>
      </c>
      <c r="G16" s="6" t="str">
        <f t="shared" si="1"/>
        <v>deployment.</v>
      </c>
      <c r="H16" s="1" t="str">
        <f t="shared" si="2"/>
        <v>{{ tl_deployment }}.</v>
      </c>
      <c r="I16" t="str">
        <f t="shared" si="3"/>
        <v>Deployment.</v>
      </c>
      <c r="J16" t="str">
        <f t="shared" si="4"/>
        <v>{{ tu_deployment }}.</v>
      </c>
    </row>
    <row r="17" spans="1:10">
      <c r="A17" s="3" t="s">
        <v>477</v>
      </c>
      <c r="B17" s="1" t="s">
        <v>421</v>
      </c>
      <c r="C17" t="s">
        <v>426</v>
      </c>
      <c r="D17" s="1" t="s">
        <v>285</v>
      </c>
      <c r="E17" s="1" t="s">
        <v>313</v>
      </c>
      <c r="F17" s="7" t="str">
        <f t="shared" si="0"/>
        <v>. Deployment</v>
      </c>
      <c r="G17" s="6" t="str">
        <f t="shared" si="1"/>
        <v>Deployment.</v>
      </c>
      <c r="H17" s="1" t="str">
        <f t="shared" si="2"/>
        <v>{{ tu_deployment }}.</v>
      </c>
      <c r="I17" t="str">
        <f t="shared" si="3"/>
        <v>Deployment.</v>
      </c>
      <c r="J17" t="str">
        <f t="shared" si="4"/>
        <v>{{ tu_deployment }}.</v>
      </c>
    </row>
    <row r="18" spans="1:10">
      <c r="A18" s="3" t="s">
        <v>477</v>
      </c>
      <c r="B18" s="1" t="s">
        <v>421</v>
      </c>
      <c r="C18" s="1" t="s">
        <v>427</v>
      </c>
      <c r="D18" s="1" t="s">
        <v>350</v>
      </c>
      <c r="E18" s="6" t="s">
        <v>302</v>
      </c>
      <c r="F18" s="7" t="str">
        <f t="shared" si="0"/>
        <v>. viewshed</v>
      </c>
      <c r="G18" s="6" t="str">
        <f t="shared" si="1"/>
        <v>viewshed.</v>
      </c>
      <c r="H18" s="1" t="str">
        <f t="shared" si="2"/>
        <v>{{ tl_fov_viewshed }}.</v>
      </c>
      <c r="I18" t="str">
        <f t="shared" si="3"/>
        <v>Viewshed.</v>
      </c>
      <c r="J18" t="str">
        <f t="shared" si="4"/>
        <v>{{ tu_fov_viewshed }}.</v>
      </c>
    </row>
    <row r="19" spans="1:10">
      <c r="A19" s="3" t="s">
        <v>477</v>
      </c>
      <c r="B19" s="1" t="s">
        <v>421</v>
      </c>
      <c r="C19" t="s">
        <v>426</v>
      </c>
      <c r="D19" s="1" t="s">
        <v>350</v>
      </c>
      <c r="E19" s="3" t="s">
        <v>316</v>
      </c>
      <c r="F19" s="7" t="str">
        <f t="shared" si="0"/>
        <v>. Viewshed</v>
      </c>
      <c r="G19" s="6" t="str">
        <f t="shared" si="1"/>
        <v>Viewshed.</v>
      </c>
      <c r="H19" s="1" t="str">
        <f t="shared" si="2"/>
        <v>{{ tu_fov_viewshed }}.</v>
      </c>
      <c r="I19" t="str">
        <f t="shared" si="3"/>
        <v>Viewshed.</v>
      </c>
      <c r="J19" t="str">
        <f t="shared" si="4"/>
        <v>{{ tu_fov_viewshed }}.</v>
      </c>
    </row>
    <row r="20" spans="1:10">
      <c r="A20" s="3" t="s">
        <v>477</v>
      </c>
      <c r="B20" s="1" t="s">
        <v>421</v>
      </c>
      <c r="C20" s="1" t="s">
        <v>427</v>
      </c>
      <c r="D20" s="1" t="s">
        <v>286</v>
      </c>
      <c r="E20" s="6" t="s">
        <v>286</v>
      </c>
      <c r="F20" s="7" t="str">
        <f t="shared" si="0"/>
        <v>. image</v>
      </c>
      <c r="G20" s="6" t="str">
        <f t="shared" si="1"/>
        <v>image.</v>
      </c>
      <c r="H20" s="1" t="str">
        <f t="shared" si="2"/>
        <v>{{ tl_image }}.</v>
      </c>
      <c r="I20" t="str">
        <f t="shared" si="3"/>
        <v>Image.</v>
      </c>
      <c r="J20" t="str">
        <f t="shared" si="4"/>
        <v>{{ tu_image }}.</v>
      </c>
    </row>
    <row r="21" spans="1:10">
      <c r="A21" s="3" t="s">
        <v>477</v>
      </c>
      <c r="B21" s="1" t="s">
        <v>421</v>
      </c>
      <c r="C21" t="s">
        <v>426</v>
      </c>
      <c r="D21" s="1" t="s">
        <v>286</v>
      </c>
      <c r="E21" s="1" t="s">
        <v>317</v>
      </c>
      <c r="F21" s="7" t="str">
        <f t="shared" si="0"/>
        <v>. Image</v>
      </c>
      <c r="G21" s="6" t="str">
        <f t="shared" si="1"/>
        <v>Image.</v>
      </c>
      <c r="H21" s="1" t="str">
        <f t="shared" si="2"/>
        <v>{{ tu_image }}.</v>
      </c>
      <c r="I21" t="str">
        <f t="shared" si="3"/>
        <v>Image.</v>
      </c>
      <c r="J21" t="str">
        <f t="shared" si="4"/>
        <v>{{ tu_image }}.</v>
      </c>
    </row>
    <row r="22" spans="1:10">
      <c r="A22" s="3" t="s">
        <v>477</v>
      </c>
      <c r="B22" s="1" t="s">
        <v>421</v>
      </c>
      <c r="C22" s="1" t="s">
        <v>427</v>
      </c>
      <c r="D22" s="1" t="s">
        <v>287</v>
      </c>
      <c r="E22" s="6" t="s">
        <v>287</v>
      </c>
      <c r="F22" s="7" t="str">
        <f t="shared" si="0"/>
        <v>. metadata</v>
      </c>
      <c r="G22" s="6" t="str">
        <f t="shared" si="1"/>
        <v>metadata.</v>
      </c>
      <c r="H22" s="1" t="str">
        <f t="shared" si="2"/>
        <v>{{ tl_metadata }}.</v>
      </c>
    </row>
    <row r="23" spans="1:10">
      <c r="A23" s="3" t="s">
        <v>477</v>
      </c>
      <c r="B23" s="1" t="s">
        <v>421</v>
      </c>
      <c r="C23" t="s">
        <v>426</v>
      </c>
      <c r="D23" s="1" t="s">
        <v>287</v>
      </c>
      <c r="E23" s="1" t="s">
        <v>326</v>
      </c>
      <c r="F23" s="7" t="str">
        <f t="shared" si="0"/>
        <v>. Metadata</v>
      </c>
      <c r="G23" s="6" t="str">
        <f t="shared" si="1"/>
        <v>Metadata.</v>
      </c>
      <c r="H23" s="1" t="str">
        <f t="shared" si="2"/>
        <v>{{ tu_metadata }}.</v>
      </c>
    </row>
    <row r="24" spans="1:10">
      <c r="A24" s="3" t="s">
        <v>477</v>
      </c>
      <c r="B24" s="1" t="s">
        <v>421</v>
      </c>
      <c r="C24" s="1" t="s">
        <v>427</v>
      </c>
      <c r="D24" s="1" t="s">
        <v>342</v>
      </c>
      <c r="E24" s="6" t="s">
        <v>299</v>
      </c>
      <c r="F24" s="7" t="str">
        <f t="shared" si="0"/>
        <v>. inventory</v>
      </c>
      <c r="G24" s="6" t="str">
        <f t="shared" si="1"/>
        <v>inventory.</v>
      </c>
      <c r="H24" s="1" t="str">
        <f t="shared" si="2"/>
        <v>{{ tl_mod_inventory }}.</v>
      </c>
    </row>
    <row r="25" spans="1:10">
      <c r="A25" s="3" t="s">
        <v>477</v>
      </c>
      <c r="B25" s="1" t="s">
        <v>421</v>
      </c>
      <c r="C25" t="s">
        <v>426</v>
      </c>
      <c r="D25" s="1" t="s">
        <v>342</v>
      </c>
      <c r="E25" s="1" t="s">
        <v>307</v>
      </c>
      <c r="F25" s="7" t="str">
        <f t="shared" si="0"/>
        <v>. Inventory</v>
      </c>
      <c r="G25" s="6" t="str">
        <f t="shared" si="1"/>
        <v>Inventory.</v>
      </c>
      <c r="H25" s="1" t="str">
        <f t="shared" si="2"/>
        <v>{{ tu_mod_inventory }}.</v>
      </c>
    </row>
    <row r="26" spans="1:10">
      <c r="A26" s="3" t="s">
        <v>477</v>
      </c>
      <c r="B26" s="1" t="s">
        <v>421</v>
      </c>
      <c r="C26" s="1" t="s">
        <v>427</v>
      </c>
      <c r="D26" s="1" t="s">
        <v>346</v>
      </c>
      <c r="E26" s="6" t="s">
        <v>301</v>
      </c>
      <c r="F26" s="7" t="str">
        <f t="shared" si="0"/>
        <v>. overdispersion</v>
      </c>
      <c r="G26" s="6" t="str">
        <f t="shared" si="1"/>
        <v>overdispersion.</v>
      </c>
      <c r="H26" s="1" t="str">
        <f t="shared" si="2"/>
        <v>{{ tl_mod_overdispersion }}.</v>
      </c>
    </row>
    <row r="27" spans="1:10">
      <c r="A27" s="3" t="s">
        <v>477</v>
      </c>
      <c r="B27" s="1" t="s">
        <v>421</v>
      </c>
      <c r="C27" t="s">
        <v>426</v>
      </c>
      <c r="D27" s="1" t="s">
        <v>346</v>
      </c>
      <c r="E27" s="3" t="s">
        <v>308</v>
      </c>
      <c r="F27" s="7" t="str">
        <f t="shared" si="0"/>
        <v>. Overdispersion</v>
      </c>
      <c r="G27" s="6" t="str">
        <f t="shared" si="1"/>
        <v>Overdispersion.</v>
      </c>
      <c r="H27" s="1" t="str">
        <f t="shared" si="2"/>
        <v>{{ tu_mod_overdispersion }}.</v>
      </c>
    </row>
    <row r="28" spans="1:10">
      <c r="A28" s="3" t="s">
        <v>477</v>
      </c>
      <c r="B28" s="1" t="s">
        <v>421</v>
      </c>
      <c r="C28" s="1" t="s">
        <v>427</v>
      </c>
      <c r="D28" s="1" t="s">
        <v>345</v>
      </c>
      <c r="E28" s="6" t="s">
        <v>288</v>
      </c>
      <c r="F28" s="7" t="str">
        <f t="shared" si="0"/>
        <v>. occupancy</v>
      </c>
      <c r="G28" s="6" t="str">
        <f t="shared" si="1"/>
        <v>occupancy.</v>
      </c>
      <c r="H28" s="1" t="str">
        <f t="shared" si="2"/>
        <v>{{ tl_obj_occupancy }}.</v>
      </c>
    </row>
    <row r="29" spans="1:10">
      <c r="A29" s="3" t="s">
        <v>477</v>
      </c>
      <c r="B29" s="1" t="s">
        <v>421</v>
      </c>
      <c r="C29" t="s">
        <v>426</v>
      </c>
      <c r="D29" s="1" t="s">
        <v>345</v>
      </c>
      <c r="E29" s="1" t="s">
        <v>306</v>
      </c>
      <c r="F29" s="7" t="str">
        <f t="shared" si="0"/>
        <v>. Occupancy</v>
      </c>
      <c r="G29" s="6" t="str">
        <f t="shared" si="1"/>
        <v>Occupancy.</v>
      </c>
      <c r="H29" s="1" t="str">
        <f t="shared" si="2"/>
        <v>{{ tu_obj_occupancy }}.</v>
      </c>
    </row>
    <row r="30" spans="1:10">
      <c r="A30" s="3" t="s">
        <v>477</v>
      </c>
      <c r="B30" s="1" t="s">
        <v>421</v>
      </c>
      <c r="C30" s="1" t="s">
        <v>427</v>
      </c>
      <c r="D30" s="1" t="s">
        <v>289</v>
      </c>
      <c r="E30" s="6" t="s">
        <v>289</v>
      </c>
      <c r="F30" s="7" t="str">
        <f t="shared" si="0"/>
        <v>. project</v>
      </c>
      <c r="G30" s="6" t="str">
        <f t="shared" si="1"/>
        <v>project.</v>
      </c>
      <c r="H30" s="1" t="str">
        <f t="shared" si="2"/>
        <v>{{ tl_project }}.</v>
      </c>
    </row>
    <row r="31" spans="1:10">
      <c r="A31" s="3" t="s">
        <v>477</v>
      </c>
      <c r="B31" s="1" t="s">
        <v>421</v>
      </c>
      <c r="C31" t="s">
        <v>426</v>
      </c>
      <c r="D31" s="1" t="s">
        <v>289</v>
      </c>
      <c r="E31" s="1" t="s">
        <v>324</v>
      </c>
      <c r="F31" s="7" t="str">
        <f t="shared" si="0"/>
        <v>. Project</v>
      </c>
      <c r="G31" s="6" t="str">
        <f t="shared" si="1"/>
        <v>Project.</v>
      </c>
      <c r="H31" s="1" t="str">
        <f t="shared" si="2"/>
        <v>{{ tu_project }}.</v>
      </c>
    </row>
    <row r="32" spans="1:10">
      <c r="A32" s="3" t="s">
        <v>477</v>
      </c>
      <c r="B32" s="1" t="s">
        <v>421</v>
      </c>
      <c r="C32" s="1" t="s">
        <v>427</v>
      </c>
      <c r="D32" s="1" t="s">
        <v>290</v>
      </c>
      <c r="E32" s="6" t="s">
        <v>290</v>
      </c>
      <c r="F32" s="7" t="str">
        <f t="shared" si="0"/>
        <v>. pseudoreplication</v>
      </c>
      <c r="G32" s="6" t="str">
        <f t="shared" si="1"/>
        <v>pseudoreplication.</v>
      </c>
      <c r="H32" s="1" t="str">
        <f t="shared" si="2"/>
        <v>{{ tl_pseudoreplication }}.</v>
      </c>
    </row>
    <row r="33" spans="1:8">
      <c r="A33" s="3" t="s">
        <v>477</v>
      </c>
      <c r="B33" s="1" t="s">
        <v>421</v>
      </c>
      <c r="C33" t="s">
        <v>426</v>
      </c>
      <c r="D33" s="1" t="s">
        <v>290</v>
      </c>
      <c r="E33" s="1" t="s">
        <v>327</v>
      </c>
      <c r="F33" s="7" t="str">
        <f t="shared" si="0"/>
        <v>. Pseudoreplication</v>
      </c>
      <c r="G33" s="6" t="str">
        <f t="shared" si="1"/>
        <v>Pseudoreplication.</v>
      </c>
      <c r="H33" s="1" t="str">
        <f t="shared" si="2"/>
        <v>{{ tu_pseudoreplication }}.</v>
      </c>
    </row>
    <row r="34" spans="1:8" ht="15">
      <c r="A34" s="3" t="s">
        <v>477</v>
      </c>
      <c r="B34" s="1" t="s">
        <v>420</v>
      </c>
      <c r="C34" t="s">
        <v>426</v>
      </c>
      <c r="D34" s="1" t="s">
        <v>347</v>
      </c>
      <c r="E34" s="5" t="s">
        <v>315</v>
      </c>
      <c r="F34" s="7" t="str">
        <f t="shared" si="0"/>
        <v>. Security</v>
      </c>
      <c r="G34" s="6" t="str">
        <f t="shared" si="1"/>
        <v>Security.</v>
      </c>
      <c r="H34" s="1" t="str">
        <f t="shared" si="2"/>
        <v>{{ tu_security }}.</v>
      </c>
    </row>
    <row r="35" spans="1:8">
      <c r="A35" s="3" t="s">
        <v>477</v>
      </c>
      <c r="B35" s="1" t="s">
        <v>421</v>
      </c>
      <c r="C35" s="1" t="s">
        <v>427</v>
      </c>
      <c r="D35" s="1" t="s">
        <v>291</v>
      </c>
      <c r="E35" s="6" t="s">
        <v>291</v>
      </c>
      <c r="F35" s="7" t="str">
        <f t="shared" si="0"/>
        <v>. sequence</v>
      </c>
      <c r="G35" s="6" t="str">
        <f t="shared" si="1"/>
        <v>sequence.</v>
      </c>
      <c r="H35" s="1" t="str">
        <f t="shared" si="2"/>
        <v>{{ tl_sequence }}.</v>
      </c>
    </row>
    <row r="36" spans="1:8">
      <c r="A36" s="3" t="s">
        <v>477</v>
      </c>
      <c r="B36" s="1" t="s">
        <v>421</v>
      </c>
      <c r="C36" t="s">
        <v>426</v>
      </c>
      <c r="D36" s="1" t="s">
        <v>291</v>
      </c>
      <c r="E36" s="1" t="s">
        <v>328</v>
      </c>
      <c r="F36" s="7" t="str">
        <f t="shared" si="0"/>
        <v>. Sequence</v>
      </c>
      <c r="G36" s="6" t="str">
        <f t="shared" si="1"/>
        <v>Sequence.</v>
      </c>
      <c r="H36" s="1" t="str">
        <f t="shared" si="2"/>
        <v>{{ tu_sequence }}.</v>
      </c>
    </row>
    <row r="37" spans="1:8" ht="15">
      <c r="A37" s="3" t="s">
        <v>477</v>
      </c>
      <c r="B37" s="1" t="s">
        <v>420</v>
      </c>
      <c r="C37" t="s">
        <v>426</v>
      </c>
      <c r="D37" s="1" t="s">
        <v>348</v>
      </c>
      <c r="E37" s="5" t="s">
        <v>319</v>
      </c>
      <c r="F37" s="7" t="str">
        <f t="shared" si="0"/>
        <v>. Species</v>
      </c>
      <c r="G37" s="6" t="str">
        <f t="shared" si="1"/>
        <v>Species.</v>
      </c>
      <c r="H37" s="1" t="str">
        <f t="shared" si="2"/>
        <v>{{ tu_species }}.</v>
      </c>
    </row>
    <row r="38" spans="1:8">
      <c r="A38" s="3" t="s">
        <v>477</v>
      </c>
      <c r="B38" s="1" t="s">
        <v>421</v>
      </c>
      <c r="C38" s="1" t="s">
        <v>427</v>
      </c>
      <c r="D38" s="1" t="s">
        <v>292</v>
      </c>
      <c r="E38" s="6" t="s">
        <v>292</v>
      </c>
      <c r="F38" s="7" t="str">
        <f t="shared" si="0"/>
        <v>. strata</v>
      </c>
      <c r="G38" s="6" t="str">
        <f t="shared" si="1"/>
        <v>strata.</v>
      </c>
      <c r="H38" s="1" t="str">
        <f t="shared" si="2"/>
        <v>{{ tl_strata }}.</v>
      </c>
    </row>
    <row r="39" spans="1:8" ht="15">
      <c r="A39" s="3" t="s">
        <v>477</v>
      </c>
      <c r="B39" s="1" t="s">
        <v>421</v>
      </c>
      <c r="C39" t="s">
        <v>426</v>
      </c>
      <c r="D39" s="1" t="s">
        <v>292</v>
      </c>
      <c r="E39" s="5" t="s">
        <v>329</v>
      </c>
      <c r="F39" s="7" t="str">
        <f t="shared" si="0"/>
        <v>. Strata</v>
      </c>
      <c r="G39" s="6" t="str">
        <f t="shared" si="1"/>
        <v>Strata.</v>
      </c>
      <c r="H39" s="1" t="str">
        <f t="shared" si="2"/>
        <v>{{ tu_strata }}.</v>
      </c>
    </row>
    <row r="40" spans="1:8">
      <c r="A40" s="3" t="s">
        <v>477</v>
      </c>
      <c r="B40" s="1" t="s">
        <v>421</v>
      </c>
      <c r="C40" s="1" t="s">
        <v>427</v>
      </c>
      <c r="D40" s="1" t="s">
        <v>293</v>
      </c>
      <c r="E40" s="6" t="s">
        <v>293</v>
      </c>
      <c r="F40" s="7" t="str">
        <f t="shared" si="0"/>
        <v>. survey</v>
      </c>
      <c r="G40" s="6" t="str">
        <f t="shared" si="1"/>
        <v>survey.</v>
      </c>
      <c r="H40" s="1" t="str">
        <f t="shared" si="2"/>
        <v>{{ tl_survey }}.</v>
      </c>
    </row>
    <row r="41" spans="1:8">
      <c r="A41" s="3" t="s">
        <v>477</v>
      </c>
      <c r="B41" s="1" t="s">
        <v>421</v>
      </c>
      <c r="C41" t="s">
        <v>426</v>
      </c>
      <c r="D41" s="1" t="s">
        <v>293</v>
      </c>
      <c r="E41" s="1" t="s">
        <v>325</v>
      </c>
      <c r="F41" s="7" t="str">
        <f t="shared" si="0"/>
        <v>. Survey</v>
      </c>
      <c r="G41" s="6" t="str">
        <f t="shared" si="1"/>
        <v>Survey.</v>
      </c>
      <c r="H41" s="1" t="str">
        <f t="shared" si="2"/>
        <v>{{ tu_survey }}.</v>
      </c>
    </row>
    <row r="42" spans="1:8">
      <c r="A42" s="3" t="s">
        <v>477</v>
      </c>
      <c r="B42" s="1" t="s">
        <v>420</v>
      </c>
      <c r="C42" s="1" t="s">
        <v>427</v>
      </c>
      <c r="D42" s="1" t="s">
        <v>294</v>
      </c>
      <c r="E42" s="3" t="s">
        <v>294</v>
      </c>
      <c r="F42" s="7" t="str">
        <f t="shared" si="0"/>
        <v>. tag</v>
      </c>
      <c r="G42" s="6" t="str">
        <f t="shared" si="1"/>
        <v>tag.</v>
      </c>
      <c r="H42" s="1" t="str">
        <f t="shared" si="2"/>
        <v>{{ tl_tag }}.</v>
      </c>
    </row>
    <row r="43" spans="1:8" ht="15">
      <c r="A43" s="3" t="s">
        <v>477</v>
      </c>
      <c r="B43" s="1" t="s">
        <v>420</v>
      </c>
      <c r="C43" t="s">
        <v>426</v>
      </c>
      <c r="D43" s="1" t="s">
        <v>294</v>
      </c>
      <c r="E43" s="5" t="s">
        <v>320</v>
      </c>
      <c r="F43" s="7" t="str">
        <f t="shared" si="0"/>
        <v>. Tag</v>
      </c>
      <c r="G43" s="6" t="str">
        <f t="shared" si="1"/>
        <v>Tag.</v>
      </c>
      <c r="H43" s="1" t="str">
        <f t="shared" si="2"/>
        <v>{{ tu_tag }}.</v>
      </c>
    </row>
    <row r="44" spans="1:8">
      <c r="A44" s="3" t="s">
        <v>477</v>
      </c>
      <c r="B44" s="1" t="s">
        <v>421</v>
      </c>
      <c r="C44" s="1" t="s">
        <v>427</v>
      </c>
      <c r="D44" s="1" t="s">
        <v>295</v>
      </c>
      <c r="E44" s="6" t="s">
        <v>295</v>
      </c>
      <c r="F44" s="7" t="str">
        <f t="shared" si="0"/>
        <v>. visit</v>
      </c>
      <c r="G44" s="6" t="str">
        <f t="shared" si="1"/>
        <v>visit.</v>
      </c>
      <c r="H44" s="1" t="str">
        <f t="shared" si="2"/>
        <v>{{ tl_visit }}.</v>
      </c>
    </row>
    <row r="45" spans="1:8">
      <c r="A45" s="3" t="s">
        <v>477</v>
      </c>
      <c r="B45" s="1" t="s">
        <v>421</v>
      </c>
      <c r="C45" t="s">
        <v>426</v>
      </c>
      <c r="D45" s="1" t="s">
        <v>295</v>
      </c>
      <c r="E45" s="1" t="s">
        <v>312</v>
      </c>
      <c r="F45" s="7" t="str">
        <f t="shared" si="0"/>
        <v>. Visit</v>
      </c>
      <c r="G45" s="6" t="str">
        <f t="shared" si="1"/>
        <v>Visit.</v>
      </c>
      <c r="H45" s="1" t="str">
        <f t="shared" si="2"/>
        <v>{{ tu_visit }}.</v>
      </c>
    </row>
    <row r="46" spans="1:8">
      <c r="A46" s="3" t="s">
        <v>477</v>
      </c>
      <c r="B46" s="1" t="s">
        <v>421</v>
      </c>
      <c r="C46" s="1" t="s">
        <v>427</v>
      </c>
      <c r="D46" s="1" t="s">
        <v>296</v>
      </c>
      <c r="E46" s="6" t="s">
        <v>296</v>
      </c>
      <c r="F46" s="7" t="str">
        <f t="shared" si="0"/>
        <v>. walktest</v>
      </c>
      <c r="G46" s="6" t="str">
        <f t="shared" si="1"/>
        <v>walktest.</v>
      </c>
      <c r="H46" s="1" t="str">
        <f t="shared" si="2"/>
        <v>{{ tl_walktest }}.</v>
      </c>
    </row>
    <row r="47" spans="1:8">
      <c r="A47" s="3" t="s">
        <v>477</v>
      </c>
      <c r="B47" s="1" t="s">
        <v>421</v>
      </c>
      <c r="C47" t="s">
        <v>426</v>
      </c>
      <c r="D47" s="1" t="s">
        <v>296</v>
      </c>
      <c r="E47" s="1" t="s">
        <v>314</v>
      </c>
      <c r="F47" s="7" t="str">
        <f t="shared" si="0"/>
        <v>. Walktest</v>
      </c>
      <c r="G47" s="6" t="str">
        <f t="shared" si="1"/>
        <v>Walktest.</v>
      </c>
      <c r="H47" s="1" t="str">
        <f t="shared" si="2"/>
        <v>{{ tu_walktest }}.</v>
      </c>
    </row>
    <row r="48" spans="1:8">
      <c r="C48" s="1" t="s">
        <v>427</v>
      </c>
      <c r="D48" s="2" t="s">
        <v>490</v>
      </c>
      <c r="E48" s="10" t="s">
        <v>490</v>
      </c>
    </row>
  </sheetData>
  <autoFilter ref="A1:H47" xr:uid="{6566AB39-DB87-419B-A2E5-3972991F2028}">
    <sortState xmlns:xlrd2="http://schemas.microsoft.com/office/spreadsheetml/2017/richdata2" ref="A2:H47">
      <sortCondition ref="D1:D47"/>
    </sortState>
  </autoFilter>
  <conditionalFormatting sqref="A1:B47">
    <cfRule type="containsText" dxfId="5" priority="4" operator="containsText" text="\">
      <formula>NOT(ISERROR(SEARCH("\",A1)))</formula>
    </cfRule>
    <cfRule type="containsText" dxfId="4" priority="5" operator="containsText" text="/">
      <formula>NOT(ISERROR(SEARCH("/",A1)))</formula>
    </cfRule>
  </conditionalFormatting>
  <conditionalFormatting sqref="C1:D1 E1:G47 B2:D47">
    <cfRule type="containsText" dxfId="3" priority="6" operator="containsText" text=" ">
      <formula>NOT(ISERROR(SEARCH(" ",B1)))</formula>
    </cfRule>
  </conditionalFormatting>
  <conditionalFormatting sqref="H1:H1048576">
    <cfRule type="duplicateValues" dxfId="2" priority="2"/>
  </conditionalFormatting>
  <conditionalFormatting sqref="C48">
    <cfRule type="containsText" dxfId="1" priority="1" operator="containsText" text=" ">
      <formula>NOT(ISERROR(SEARCH(" ",C48)))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9399-A7DE-4161-9963-3C501EBA1CF4}">
  <dimension ref="A1:C27"/>
  <sheetViews>
    <sheetView workbookViewId="0">
      <selection activeCell="B27" sqref="B27"/>
    </sheetView>
  </sheetViews>
  <sheetFormatPr defaultRowHeight="14.25"/>
  <cols>
    <col min="1" max="1" width="46.625" customWidth="1"/>
    <col min="2" max="2" width="83.75" customWidth="1"/>
    <col min="3" max="3" width="56.5" customWidth="1"/>
  </cols>
  <sheetData>
    <row r="1" spans="1:3">
      <c r="A1" t="s">
        <v>1248</v>
      </c>
      <c r="B1" t="s">
        <v>1247</v>
      </c>
    </row>
    <row r="2" spans="1:3">
      <c r="A2" t="s">
        <v>1246</v>
      </c>
      <c r="B2" t="s">
        <v>1245</v>
      </c>
    </row>
    <row r="3" spans="1:3">
      <c r="A3" s="23" t="s">
        <v>1244</v>
      </c>
      <c r="B3" s="23" t="s">
        <v>1243</v>
      </c>
    </row>
    <row r="4" spans="1:3">
      <c r="A4" t="s">
        <v>1242</v>
      </c>
      <c r="B4" t="s">
        <v>1241</v>
      </c>
    </row>
    <row r="5" spans="1:3">
      <c r="A5" t="s">
        <v>1239</v>
      </c>
      <c r="B5" t="s">
        <v>1240</v>
      </c>
    </row>
    <row r="6" spans="1:3">
      <c r="A6" t="s">
        <v>1239</v>
      </c>
      <c r="B6" t="s">
        <v>1238</v>
      </c>
    </row>
    <row r="7" spans="1:3">
      <c r="A7" t="s">
        <v>1237</v>
      </c>
      <c r="B7" t="s">
        <v>1249</v>
      </c>
    </row>
    <row r="8" spans="1:3">
      <c r="A8" t="s">
        <v>1236</v>
      </c>
      <c r="B8" t="s">
        <v>1250</v>
      </c>
    </row>
    <row r="9" spans="1:3">
      <c r="A9" t="s">
        <v>1222</v>
      </c>
      <c r="B9" t="s">
        <v>1251</v>
      </c>
    </row>
    <row r="10" spans="1:3">
      <c r="A10" t="s">
        <v>1235</v>
      </c>
      <c r="B10" t="s">
        <v>1252</v>
      </c>
      <c r="C10" t="s">
        <v>1234</v>
      </c>
    </row>
    <row r="11" spans="1:3">
      <c r="A11" t="s">
        <v>1233</v>
      </c>
      <c r="B11" t="s">
        <v>1253</v>
      </c>
      <c r="C11" t="s">
        <v>1230</v>
      </c>
    </row>
    <row r="12" spans="1:3">
      <c r="A12" t="s">
        <v>1232</v>
      </c>
      <c r="B12" t="s">
        <v>1254</v>
      </c>
      <c r="C12" t="s">
        <v>1231</v>
      </c>
    </row>
    <row r="13" spans="1:3">
      <c r="A13" t="s">
        <v>1229</v>
      </c>
      <c r="B13" s="23" t="s">
        <v>1255</v>
      </c>
    </row>
    <row r="14" spans="1:3">
      <c r="A14" t="s">
        <v>1229</v>
      </c>
      <c r="B14" s="23" t="s">
        <v>1256</v>
      </c>
    </row>
    <row r="15" spans="1:3">
      <c r="A15" t="s">
        <v>1228</v>
      </c>
      <c r="B15" s="23" t="s">
        <v>1221</v>
      </c>
    </row>
    <row r="16" spans="1:3">
      <c r="A16" t="s">
        <v>1227</v>
      </c>
      <c r="B16" s="23" t="s">
        <v>1257</v>
      </c>
    </row>
    <row r="17" spans="1:2">
      <c r="A17" t="s">
        <v>1226</v>
      </c>
      <c r="B17" s="23" t="s">
        <v>1258</v>
      </c>
    </row>
    <row r="18" spans="1:2">
      <c r="A18" t="s">
        <v>1225</v>
      </c>
      <c r="B18" s="23" t="s">
        <v>1259</v>
      </c>
    </row>
    <row r="19" spans="1:2">
      <c r="A19" t="s">
        <v>1224</v>
      </c>
      <c r="B19" s="23" t="s">
        <v>1260</v>
      </c>
    </row>
    <row r="20" spans="1:2">
      <c r="A20" t="s">
        <v>1223</v>
      </c>
      <c r="B20" s="23" t="s">
        <v>1261</v>
      </c>
    </row>
    <row r="21" spans="1:2">
      <c r="A21" t="s">
        <v>1228</v>
      </c>
      <c r="B21" s="23" t="s">
        <v>1262</v>
      </c>
    </row>
    <row r="22" spans="1:2">
      <c r="A22" t="s">
        <v>1227</v>
      </c>
      <c r="B22" s="23" t="s">
        <v>1263</v>
      </c>
    </row>
    <row r="23" spans="1:2">
      <c r="A23" t="s">
        <v>1226</v>
      </c>
      <c r="B23" s="23" t="s">
        <v>1264</v>
      </c>
    </row>
    <row r="24" spans="1:2">
      <c r="A24" t="s">
        <v>1225</v>
      </c>
      <c r="B24" s="23" t="s">
        <v>1265</v>
      </c>
    </row>
    <row r="25" spans="1:2">
      <c r="A25" t="s">
        <v>1224</v>
      </c>
      <c r="B25" s="23" t="s">
        <v>1266</v>
      </c>
    </row>
    <row r="26" spans="1:2">
      <c r="A26" t="s">
        <v>1223</v>
      </c>
      <c r="B26" s="23" t="s">
        <v>1267</v>
      </c>
    </row>
    <row r="27" spans="1:2" ht="15.75">
      <c r="B27" s="24" t="s">
        <v>1277</v>
      </c>
    </row>
  </sheetData>
  <autoFilter ref="A1:B26" xr:uid="{CC8F3E11-3CA2-415A-8722-9BA0C9D6AE54}">
    <sortState xmlns:xlrd2="http://schemas.microsoft.com/office/spreadsheetml/2017/richdata2" ref="A2:B26">
      <sortCondition ref="B1:B49"/>
    </sortState>
  </autoFilter>
  <conditionalFormatting sqref="C1:C1048576">
    <cfRule type="duplicateValues" dxfId="0" priority="3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Sheet1</vt:lpstr>
      <vt:lpstr>fix_format</vt:lpstr>
      <vt:lpstr>yaml</vt:lpstr>
      <vt:lpstr>breaks</vt:lpstr>
      <vt:lpstr>add2</vt:lpstr>
      <vt:lpstr>single</vt:lpstr>
      <vt:lpstr>Sheet3</vt:lpstr>
      <vt:lpstr>fix_format!figure1_caption</vt:lpstr>
      <vt:lpstr>fix_format!figure10_caption</vt:lpstr>
      <vt:lpstr>fix_format!figure11_caption</vt:lpstr>
      <vt:lpstr>fix_format!figure12_caption</vt:lpstr>
      <vt:lpstr>fix_format!figure13_caption</vt:lpstr>
      <vt:lpstr>fix_format!figure14_caption</vt:lpstr>
      <vt:lpstr>fix_format!figure15_caption</vt:lpstr>
      <vt:lpstr>fix_format!figure16_caption</vt:lpstr>
      <vt:lpstr>fix_format!figure17_caption</vt:lpstr>
      <vt:lpstr>fix_format!figure18_caption</vt:lpstr>
      <vt:lpstr>fix_format!figure19_caption</vt:lpstr>
      <vt:lpstr>fix_format!figure2_caption</vt:lpstr>
      <vt:lpstr>fix_format!figure20_caption</vt:lpstr>
      <vt:lpstr>fix_format!figure3_caption</vt:lpstr>
      <vt:lpstr>fix_format!figure4_caption</vt:lpstr>
      <vt:lpstr>fix_format!figure5_caption</vt:lpstr>
      <vt:lpstr>fix_format!figure6_caption</vt:lpstr>
      <vt:lpstr>fix_format!figure7_caption</vt:lpstr>
      <vt:lpstr>fix_format!figure8_caption</vt:lpstr>
      <vt:lpstr>fix_format!figure9_caption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2024-11-24T00:25:46Z</dcterms:modified>
</cp:coreProperties>
</file>