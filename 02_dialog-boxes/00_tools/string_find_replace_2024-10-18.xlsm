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ssi\Documents\GitHub_AB-RCSC\rc-tool_concept-library\02_dialog-boxes\00_tools\"/>
    </mc:Choice>
  </mc:AlternateContent>
  <xr:revisionPtr revIDLastSave="0" documentId="13_ncr:1_{BF4D5484-FD02-46EF-9AE6-54DEDE6367AE}" xr6:coauthVersionLast="47" xr6:coauthVersionMax="47" xr10:uidLastSave="{00000000-0000-0000-0000-000000000000}"/>
  <bookViews>
    <workbookView xWindow="-120" yWindow="-120" windowWidth="29040" windowHeight="15720" activeTab="1" xr2:uid="{97E08AA2-A34E-481B-9840-DA517229A9D4}"/>
  </bookViews>
  <sheets>
    <sheet name="Sheet1" sheetId="3" r:id="rId1"/>
    <sheet name="yaml" sheetId="9" r:id="rId2"/>
    <sheet name="breaks" sheetId="12" r:id="rId3"/>
    <sheet name="Sheet1 (2)" sheetId="10" r:id="rId4"/>
    <sheet name="add2" sheetId="8" r:id="rId5"/>
    <sheet name="single" sheetId="5" r:id="rId6"/>
  </sheets>
  <functionGroups builtInGroupCount="19"/>
  <definedNames>
    <definedName name="_xlnm._FilterDatabase" localSheetId="0" hidden="1">Sheet1!$A$2:$B$2</definedName>
    <definedName name="_xlnm._FilterDatabase" localSheetId="3" hidden="1">'Sheet1 (2)'!$A$2:$B$2</definedName>
    <definedName name="_xlnm._FilterDatabase" localSheetId="5" hidden="1">single!$A$1:$H$47</definedName>
    <definedName name="_xleta.EXACT" hidden="1" xlm="1">#NAME?</definedName>
    <definedName name="_xleta.SUM" hidden="1" xlm="1">#NAME?</definedName>
    <definedName name="file_from" localSheetId="0">Sheet1!#REF!</definedName>
    <definedName name="md_analytical" localSheetId="0">Sheet1!#REF!</definedName>
    <definedName name="md_def_mods" localSheetId="0">Sheet1!#REF!</definedName>
    <definedName name="md_endall" localSheetId="0">Sheet1!#REF!</definedName>
    <definedName name="md_indepth" localSheetId="0">Sheet1!#REF!</definedName>
    <definedName name="md_info" localSheetId="0">Sheet1!#REF!</definedName>
    <definedName name="md_jupytext" localSheetId="0">Sheet1!#REF!</definedName>
    <definedName name="md_overview" localSheetId="0">Sheet1!#REF!</definedName>
    <definedName name="md_refs" localSheetId="0">Sheet1!#REF!</definedName>
    <definedName name="md_shiny_1" localSheetId="0">Sheet1!#REF!</definedName>
    <definedName name="md_shiny_2" localSheetId="0">Sheet1!#REF!</definedName>
    <definedName name="md_shiny_none" localSheetId="0">Sheet1!#REF!</definedName>
    <definedName name="md_tabend" localSheetId="0">Sheet1!#REF!</definedName>
    <definedName name="md_tabset" localSheetId="0">Sheet1!#REF!</definedName>
    <definedName name="md_title_info" localSheetId="0">Sheet1!#REF!</definedName>
    <definedName name="md_vis_1grid" localSheetId="0">Sheet1!#REF!</definedName>
    <definedName name="md_vis_2grid" localSheetId="0">Sheet1!#REF!</definedName>
    <definedName name="md_vis_3grid" localSheetId="0">Sheet1!#REF!</definedName>
    <definedName name="md_vis_4grid" localSheetId="0">Sheet1!#REF!</definedName>
    <definedName name="md_vis_5grid_vid" localSheetId="0">Sheet1!#REF!</definedName>
    <definedName name="md_vis_6grid_vid" localSheetId="0">Sheet1!#REF!</definedName>
    <definedName name="md_vis_7grid_vid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0" l="1"/>
  <c r="H14" i="10" s="1"/>
  <c r="H15" i="10" s="1"/>
  <c r="H12" i="10"/>
  <c r="H11" i="10"/>
  <c r="G11" i="10"/>
  <c r="G12" i="10"/>
  <c r="G13" i="10"/>
  <c r="G14" i="10"/>
  <c r="G15" i="10"/>
  <c r="G10" i="10"/>
  <c r="D1" i="12"/>
  <c r="D1" i="10"/>
  <c r="D1" i="9"/>
  <c r="D1" i="3" l="1"/>
  <c r="J3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H6" i="5"/>
  <c r="H10" i="5"/>
  <c r="H12" i="5"/>
  <c r="H14" i="5"/>
  <c r="H16" i="5"/>
  <c r="H20" i="5"/>
  <c r="H24" i="5"/>
  <c r="H8" i="5"/>
  <c r="H22" i="5"/>
  <c r="H26" i="5"/>
  <c r="H30" i="5"/>
  <c r="H32" i="5"/>
  <c r="H35" i="5"/>
  <c r="H38" i="5"/>
  <c r="H40" i="5"/>
  <c r="H42" i="5"/>
  <c r="H18" i="5"/>
  <c r="H44" i="5"/>
  <c r="H46" i="5"/>
  <c r="H2" i="5"/>
  <c r="H5" i="5"/>
  <c r="H7" i="5"/>
  <c r="H11" i="5"/>
  <c r="H13" i="5"/>
  <c r="H15" i="5"/>
  <c r="H17" i="5"/>
  <c r="H21" i="5"/>
  <c r="H25" i="5"/>
  <c r="H3" i="5"/>
  <c r="H9" i="5"/>
  <c r="H23" i="5"/>
  <c r="H29" i="5"/>
  <c r="H27" i="5"/>
  <c r="H31" i="5"/>
  <c r="H33" i="5"/>
  <c r="H34" i="5"/>
  <c r="H36" i="5"/>
  <c r="H37" i="5"/>
  <c r="H39" i="5"/>
  <c r="H4" i="5"/>
  <c r="H41" i="5"/>
  <c r="H43" i="5"/>
  <c r="H19" i="5"/>
  <c r="H45" i="5"/>
  <c r="H47" i="5"/>
  <c r="H28" i="5"/>
  <c r="J2" i="5"/>
  <c r="G28" i="5"/>
  <c r="G6" i="5" l="1"/>
  <c r="G10" i="5"/>
  <c r="G12" i="5"/>
  <c r="G14" i="5"/>
  <c r="I6" i="5" s="1"/>
  <c r="G16" i="5"/>
  <c r="G20" i="5"/>
  <c r="G24" i="5"/>
  <c r="G8" i="5"/>
  <c r="I10" i="5" s="1"/>
  <c r="G22" i="5"/>
  <c r="G26" i="5"/>
  <c r="I12" i="5" s="1"/>
  <c r="G30" i="5"/>
  <c r="G32" i="5"/>
  <c r="G35" i="5"/>
  <c r="G38" i="5"/>
  <c r="G40" i="5"/>
  <c r="G42" i="5"/>
  <c r="G18" i="5"/>
  <c r="G44" i="5"/>
  <c r="I20" i="5" s="1"/>
  <c r="G46" i="5"/>
  <c r="I21" i="5" s="1"/>
  <c r="G2" i="5"/>
  <c r="I2" i="5" s="1"/>
  <c r="G5" i="5"/>
  <c r="G7" i="5"/>
  <c r="G11" i="5"/>
  <c r="G13" i="5"/>
  <c r="G15" i="5"/>
  <c r="G17" i="5"/>
  <c r="G21" i="5"/>
  <c r="G25" i="5"/>
  <c r="G3" i="5"/>
  <c r="G9" i="5"/>
  <c r="G23" i="5"/>
  <c r="G29" i="5"/>
  <c r="G27" i="5"/>
  <c r="G31" i="5"/>
  <c r="G33" i="5"/>
  <c r="G34" i="5"/>
  <c r="G36" i="5"/>
  <c r="G37" i="5"/>
  <c r="G39" i="5"/>
  <c r="G4" i="5"/>
  <c r="G41" i="5"/>
  <c r="G43" i="5"/>
  <c r="G19" i="5"/>
  <c r="G45" i="5"/>
  <c r="G47" i="5"/>
  <c r="F28" i="5"/>
  <c r="F2" i="5"/>
  <c r="F5" i="5"/>
  <c r="F7" i="5"/>
  <c r="F6" i="5"/>
  <c r="F10" i="5"/>
  <c r="F11" i="5"/>
  <c r="F13" i="5"/>
  <c r="F12" i="5"/>
  <c r="F15" i="5"/>
  <c r="F14" i="5"/>
  <c r="F17" i="5"/>
  <c r="F16" i="5"/>
  <c r="F21" i="5"/>
  <c r="F20" i="5"/>
  <c r="F25" i="5"/>
  <c r="F24" i="5"/>
  <c r="F3" i="5"/>
  <c r="F9" i="5"/>
  <c r="F8" i="5"/>
  <c r="F23" i="5"/>
  <c r="F22" i="5"/>
  <c r="F29" i="5"/>
  <c r="F27" i="5"/>
  <c r="F26" i="5"/>
  <c r="F31" i="5"/>
  <c r="F30" i="5"/>
  <c r="F33" i="5"/>
  <c r="F32" i="5"/>
  <c r="F34" i="5"/>
  <c r="F36" i="5"/>
  <c r="F35" i="5"/>
  <c r="F37" i="5"/>
  <c r="F39" i="5"/>
  <c r="F38" i="5"/>
  <c r="F4" i="5"/>
  <c r="F41" i="5"/>
  <c r="F40" i="5"/>
  <c r="F43" i="5"/>
  <c r="F42" i="5"/>
  <c r="F19" i="5"/>
  <c r="F18" i="5"/>
  <c r="F45" i="5"/>
  <c r="F44" i="5"/>
  <c r="F47" i="5"/>
  <c r="F46" i="5"/>
  <c r="I17" i="5" l="1"/>
  <c r="I14" i="5"/>
  <c r="I13" i="5"/>
  <c r="I11" i="5"/>
  <c r="I9" i="5"/>
  <c r="I8" i="5"/>
  <c r="I19" i="5"/>
  <c r="I7" i="5"/>
  <c r="I5" i="5"/>
  <c r="I16" i="5"/>
  <c r="I4" i="5"/>
  <c r="I18" i="5"/>
  <c r="I15" i="5"/>
  <c r="I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tc={CED885A4-5353-4C5C-A838-DFF703A961E1}</author>
  </authors>
  <commentList>
    <comment ref="A1" authorId="0" shapeId="0" xr:uid="{CED885A4-5353-4C5C-A838-DFF703A961E1}">
      <text>
        <t>[Threaded comment]
Your version of Excel allows you to read this threaded comment; however, any edits to it will get removed if the file is opened in a newer version of Excel. Learn more: https://go.microsoft.com/fwlink/?linkid=870924
Comment:
    =XLOOKUP(TRUE, EXACT(F2, Sheet1!$E:$E), Sheet1!$F:$F, "not found")</t>
      </text>
    </comment>
  </commentList>
</comments>
</file>

<file path=xl/sharedStrings.xml><?xml version="1.0" encoding="utf-8"?>
<sst xmlns="http://schemas.openxmlformats.org/spreadsheetml/2006/main" count="2573" uniqueCount="1241">
  <si>
    <t>[zero-inflation](#mod_zero_inflation)</t>
  </si>
  <si>
    <t>[walktest](#walktest)</t>
  </si>
  <si>
    <t>[vital rate](#obj_vital_rate)</t>
  </si>
  <si>
    <t>[visual lure](#baitlure_visual_lure)</t>
  </si>
  <si>
    <t>[visit](#visit)</t>
  </si>
  <si>
    <t>[visit metadata](#visit_metadata)</t>
  </si>
  <si>
    <t>[viewshed](#fov_viewshed)</t>
  </si>
  <si>
    <t>[viewshed density estimators](#fov_viewshed_density_estimators)</t>
  </si>
  <si>
    <t>[user label](#settings_userlabel)</t>
  </si>
  <si>
    <t>[trigger speed](#trigger_speed)</t>
  </si>
  <si>
    <t>[trigger 'event'](#trigger_event)</t>
  </si>
  <si>
    <t>[total number of camera days](#total_number_of_camera_days)</t>
  </si>
  <si>
    <t>[time-lapse image](#timelapse_image)</t>
  </si>
  <si>
    <t>[test image](#test_image)</t>
  </si>
  <si>
    <t>[targeted design](#sampledesign_targeted)</t>
  </si>
  <si>
    <t>[tag](#tag)</t>
  </si>
  <si>
    <t>[systematic random design](#sampledesign_systematic_random)</t>
  </si>
  <si>
    <t>[systematic design](#sampledesign_systematic)</t>
  </si>
  <si>
    <t>[survey](#survey)</t>
  </si>
  <si>
    <t>[study area](#study_area)</t>
  </si>
  <si>
    <t>[stratified random design ](#sampledesign_stratified_random)</t>
  </si>
  <si>
    <t>[stratified design](#sampledesign_stratified)</t>
  </si>
  <si>
    <t>[strata](#strata)</t>
  </si>
  <si>
    <t>[state variable](#state_variable)</t>
  </si>
  <si>
    <t>[species richness](#mod_divers_rich_rich2)</t>
  </si>
  <si>
    <t>[species richness](#mod_divers_rich_rich)</t>
  </si>
  <si>
    <t>[species inventory](#obj_inventory)</t>
  </si>
  <si>
    <t>[species diversity](#mod_divers_rich_divers)</t>
  </si>
  <si>
    <t>[species diversity &amp; richness](#obj_divers_rich)</t>
  </si>
  <si>
    <t>[spatial autocorrelation](#spatial_autocorrelation)</t>
  </si>
  <si>
    <t>[service/retrieval](#service_retrieval)</t>
  </si>
  <si>
    <t>[service/retrieval visit](#service_retrieval_visit)</t>
  </si>
  <si>
    <t>[service/retrieval metadata](#service_retrieval_metadata)</t>
  </si>
  <si>
    <t>[sequence](#sequence)</t>
  </si>
  <si>
    <t>[scent lure](#baitlure_scent_lure)</t>
  </si>
  <si>
    <t>[sample station](#sample_station)</t>
  </si>
  <si>
    <t>[relative abundance](#obj_rel_abund)</t>
  </si>
  <si>
    <t>[relative abundance indices](#mod_rai)</t>
  </si>
  <si>
    <t>[registration area](#fov_registration_area)</t>
  </si>
  <si>
    <t>[recovery time](#recovery_time)</t>
  </si>
  <si>
    <t>[random (or 'simple random') design](#sampledesign_random)</t>
  </si>
  <si>
    <t>[pseudoreplication](#pseudoreplication)</t>
  </si>
  <si>
    <t>[project](#project)</t>
  </si>
  <si>
    <t>[probability of use](#use_probability)</t>
  </si>
  <si>
    <t>[poisson regression](#mod_rai_poisson)</t>
  </si>
  <si>
    <t>[paired design](#sampledesign_paired)</t>
  </si>
  <si>
    <t>[overdispersion](#mod_overdispersion)</t>
  </si>
  <si>
    <t>[occupancy](#occupancy)</t>
  </si>
  <si>
    <t>[occupancy](#obj_occupancy)</t>
  </si>
  <si>
    <t>[n-mixture models](#mod_n_mixture)</t>
  </si>
  <si>
    <t>[metadata](#metadata)</t>
  </si>
  <si>
    <t>[lure](#baitlure_lure)</t>
  </si>
  <si>
    <t>[kernel density estimator](#kernel_density_estimator)</t>
  </si>
  <si>
    <t>[inventory](#mod_inventory)</t>
  </si>
  <si>
    <t>[inter-detection interval](#inter_detection_interval)</t>
  </si>
  <si>
    <t>[intensity of use](#use_intensity)</t>
  </si>
  <si>
    <t>[intensity of use (Keim et al., 2019)](#intensity_of_use)</t>
  </si>
  <si>
    <t>[infrared illuminator](#settings_infrared_illum)</t>
  </si>
  <si>
    <t>[independent detections](#independent_detections)</t>
  </si>
  <si>
    <t>[imperfect detection](#imperfect_detection)</t>
  </si>
  <si>
    <t>[image](#image)</t>
  </si>
  <si>
    <t>[gamma richness (γ)](#mod_divers_rich_gamma)</t>
  </si>
  <si>
    <t>[flash output](#settings_flash_output)</t>
  </si>
  <si>
    <t>[false trigger](#false_trigger)</t>
  </si>
  <si>
    <t>[effective detection distance](#effective_detection_distance)</t>
  </si>
  <si>
    <t>[detection zone](#detection_zone)</t>
  </si>
  <si>
    <t>[detection rate](#detection_rate)</t>
  </si>
  <si>
    <t>[detection probability (aka detectability)](#detection_probability)</t>
  </si>
  <si>
    <t>[detection 'event'](#detection_event)</t>
  </si>
  <si>
    <t>[detection distance](#detection_distance)</t>
  </si>
  <si>
    <t>[deployment](#deployment)</t>
  </si>
  <si>
    <t>[deployment visit](#deployment_visit)</t>
  </si>
  <si>
    <t>[deployment metadata](#deployment_metadata)</t>
  </si>
  <si>
    <t>[deployment area photos](#deployment_area_photos)</t>
  </si>
  <si>
    <t>[density](#obj_density)</t>
  </si>
  <si>
    <t>[density](#density)</t>
  </si>
  <si>
    <t>[cumulative detection probability](#cumulative_det_probability)</t>
  </si>
  <si>
    <t>[crew](#crew)</t>
  </si>
  <si>
    <t>[convenience design](#sampledesign_convenience)</t>
  </si>
  <si>
    <t>[clustered design](#sampledesign_clustered)</t>
  </si>
  <si>
    <t>[camera spacing](#camera_spacing)</t>
  </si>
  <si>
    <t>[camera angle](#camera_angle)</t>
  </si>
  <si>
    <t>[beta-diversity (β)](#mod_divers_rich_beta)</t>
  </si>
  <si>
    <t>[behaviour](#obj_behaviour)</t>
  </si>
  <si>
    <t>[bait](#baitlure_bait)</t>
  </si>
  <si>
    <t>[audible lure](#baitlure_audible_lure)</t>
  </si>
  <si>
    <t>[alpha richness (α)](#mod_divers_rich_alpha)</t>
  </si>
  <si>
    <t>[absolute abundance / population size](#obj_abundance)</t>
  </si>
  <si>
    <t>[Zero-inflation](#mod_zero_inflation)</t>
  </si>
  <si>
    <t>[Walktest](#walktest)</t>
  </si>
  <si>
    <t>[Vital rate](#obj_vital_rate)</t>
  </si>
  <si>
    <t>[Visual lure](#baitlure_visual_lure)</t>
  </si>
  <si>
    <t>[Visit](#visit)</t>
  </si>
  <si>
    <t>[Visit metadata](#visit_metadata)</t>
  </si>
  <si>
    <t>[Viewshed](#fov_viewshed)</t>
  </si>
  <si>
    <t>[Viewshed density estimators](#fov_viewshed_density_estimators)</t>
  </si>
  <si>
    <t>[User label](#settings_userlabel)</t>
  </si>
  <si>
    <t>[Trigger speed](#trigger_speed)</t>
  </si>
  <si>
    <t>[Trigger 'event'](#trigger_event)</t>
  </si>
  <si>
    <t>[Total number of camera days](#total_number_of_camera_days)</t>
  </si>
  <si>
    <t>[Time-lapse image](#timelapse_image)</t>
  </si>
  <si>
    <t>[Test image](#test_image)</t>
  </si>
  <si>
    <t>[Targeted design](#sampledesign_targeted)</t>
  </si>
  <si>
    <t>[Tag](#tag)</t>
  </si>
  <si>
    <t>[Systematic random design](#sampledesign_systematic_random)</t>
  </si>
  <si>
    <t>[Systematic design](#sampledesign_systematic)</t>
  </si>
  <si>
    <t>[Survey](#survey)</t>
  </si>
  <si>
    <t>[Study area](#study_area)</t>
  </si>
  <si>
    <t>[Stratified random design ](#sampledesign_stratified_random)</t>
  </si>
  <si>
    <t>[Stratified design](#sampledesign_stratified)</t>
  </si>
  <si>
    <t>[Strata](#strata)</t>
  </si>
  <si>
    <t>[State variable](#state_variable)</t>
  </si>
  <si>
    <t>[Species richness](#mod_divers_rich_rich2)</t>
  </si>
  <si>
    <t>[Species richness](#mod_divers_rich_rich)</t>
  </si>
  <si>
    <t>[Species inventory](#obj_inventory)</t>
  </si>
  <si>
    <t>[Species diversity](#mod_divers_rich_divers)</t>
  </si>
  <si>
    <t>[Species diversity &amp; richness](#obj_divers_rich)</t>
  </si>
  <si>
    <t>[Spatial autocorrelation](#spatial_autocorrelation)</t>
  </si>
  <si>
    <t>[Service/Retrieval](#service_retrieval)</t>
  </si>
  <si>
    <t>[Service/Retrieval visit](#service_retrieval_visit)</t>
  </si>
  <si>
    <t>[Service/Retrieval metadata](#service_retrieval_metadata)</t>
  </si>
  <si>
    <t>[Sequence](#sequence)</t>
  </si>
  <si>
    <t>[Scent lure](#baitlure_scent_lure)</t>
  </si>
  <si>
    <t>[Sample station](#sample_station)</t>
  </si>
  <si>
    <t>[Relative abundance](#obj_rel_abund)</t>
  </si>
  <si>
    <t>[Relative abundance indices](#mod_rai)</t>
  </si>
  <si>
    <t>[Registration area](#fov_registration_area)</t>
  </si>
  <si>
    <t>[Recovery time](#recovery_time)</t>
  </si>
  <si>
    <t>[Random (or 'simple random') design](#sampledesign_random)</t>
  </si>
  <si>
    <t>[Pseudoreplication](#pseudoreplication)</t>
  </si>
  <si>
    <t>[Project](#project)</t>
  </si>
  <si>
    <t>[Probability of use](#use_probability)</t>
  </si>
  <si>
    <t>[Poisson regression](#mod_rai_poisson)</t>
  </si>
  <si>
    <t>[Paired design](#sampledesign_paired)</t>
  </si>
  <si>
    <t>[Overdispersion](#mod_overdispersion)</t>
  </si>
  <si>
    <t>[Occupancy](#occupancy)</t>
  </si>
  <si>
    <t>[Occupancy](#obj_occupancy)</t>
  </si>
  <si>
    <t>[N-mixture models](#mod_n_mixture)</t>
  </si>
  <si>
    <t>[Metadata](#metadata)</t>
  </si>
  <si>
    <t>[Lure](#baitlure_lure)</t>
  </si>
  <si>
    <t>[Kernel density estimator](#kernel_density_estimator)</t>
  </si>
  <si>
    <t>[Inventory](#mod_inventory)</t>
  </si>
  <si>
    <t>[Inter-detection interval](#inter_detection_interval)</t>
  </si>
  <si>
    <t>[Intensity of use](#use_intensity)</t>
  </si>
  <si>
    <t>[Intensity of use (Keim et al., 2019)](#intensity_of_use)</t>
  </si>
  <si>
    <t>[Infrared illuminator](#settings_infrared_illum)</t>
  </si>
  <si>
    <t>[Independent detections](#independent_detections)</t>
  </si>
  <si>
    <t>[Imperfect detection](#imperfect_detection)</t>
  </si>
  <si>
    <t>[Image](#image)</t>
  </si>
  <si>
    <t>[Gamma richness (γ)](#mod_divers_rich_gamma)</t>
  </si>
  <si>
    <t>[Flash output](#settings_flash_output)</t>
  </si>
  <si>
    <t>[False trigger](#false_trigger)</t>
  </si>
  <si>
    <t>[Effective detection distance](#effective_detection_distance)</t>
  </si>
  <si>
    <t>[Detection zone](#detection_zone)</t>
  </si>
  <si>
    <t>[Detection rate](#detection_rate)</t>
  </si>
  <si>
    <t>[Detection probability (aka detectability)](#detection_probability)</t>
  </si>
  <si>
    <t>[Detection 'event'](#detection_event)</t>
  </si>
  <si>
    <t>[Detection distance](#detection_distance)</t>
  </si>
  <si>
    <t>[Deployment](#deployment)</t>
  </si>
  <si>
    <t>[Deployment visit](#deployment_visit)</t>
  </si>
  <si>
    <t>[Deployment metadata](#deployment_metadata)</t>
  </si>
  <si>
    <t>[Deployment area photos](#deployment_area_photos)</t>
  </si>
  <si>
    <t>[Density](#obj_density)</t>
  </si>
  <si>
    <t>[Density](#density)</t>
  </si>
  <si>
    <t>[Cumulative detection probability](#cumulative_det_probability)</t>
  </si>
  <si>
    <t>[Crew](#crew)</t>
  </si>
  <si>
    <t>[Convenience design](#sampledesign_convenience)</t>
  </si>
  <si>
    <t>[Clustered design](#sampledesign_clustered)</t>
  </si>
  <si>
    <t>[Camera spacing](#camera_spacing)</t>
  </si>
  <si>
    <t>[Camera days per camera location](#camera_days_per_camera_location)</t>
  </si>
  <si>
    <t>[Camera angle](#camera_angle)</t>
  </si>
  <si>
    <t>[Beta-diversity (β)](#mod_divers_rich_beta)</t>
  </si>
  <si>
    <t>[Behaviour](#obj_behaviour)</t>
  </si>
  <si>
    <t>[Bait](#baitlure_bait)</t>
  </si>
  <si>
    <t>[Audible lure](#baitlure_audible_lure)</t>
  </si>
  <si>
    <t>[Alpha richness (α)](#mod_divers_rich_alpha)</t>
  </si>
  <si>
    <t>[Absolute abundance / Population size](#obj_abundance)</t>
  </si>
  <si>
    <t>[Walktest Height (m)](#walktest_height)</t>
  </si>
  <si>
    <t>[Walktest Distance (m) ](#walktest_distance)</t>
  </si>
  <si>
    <t>[Walktest Complete](#walktest_complete)</t>
  </si>
  <si>
    <t>[Visit Comments](#visit_comments)</t>
  </si>
  <si>
    <t>[UTM Zone Camera Location](#utm_zone_camera_location)</t>
  </si>
  <si>
    <t>[Target Species](#target_species)</t>
  </si>
  <si>
    <t>[Survey Objectives](#survey_objectives)</t>
  </si>
  <si>
    <t>[Survey Name](#survey_name)</t>
  </si>
  <si>
    <t>[Survey Design Description](#survey_design_description)</t>
  </si>
  <si>
    <t>[Survey Design](#survey_design)</t>
  </si>
  <si>
    <t>[Study Area Name](#study_area_name)</t>
  </si>
  <si>
    <t>[Study Area Description](#study_area_description)</t>
  </si>
  <si>
    <t>[Stake Distance (m)](#stake_distance)</t>
  </si>
  <si>
    <t>[Species](#species)</t>
  </si>
  <si>
    <t>[Sex Class](#sex_class)</t>
  </si>
  <si>
    <t>[Video Length (seconds)](#settings_video_length)</t>
  </si>
  <si>
    <t>[Trigger Sensitivity](#settings_trigger_sensitivity)</t>
  </si>
  <si>
    <t>[Trigger Mode(s)  (camera settings)](#settings_trigger_modes)</t>
  </si>
  <si>
    <t>[Quiet Period (seconds)](#settings_quiet_period)</t>
  </si>
  <si>
    <t>[Photos Per Trigger](#settings_photos_per_trigger)</t>
  </si>
  <si>
    <t>[Service/Retrieval Crew](#service_retrieval_crew)</t>
  </si>
  <si>
    <t>[Service/Retrieval Comments](#service_retrieval_comments)</t>
  </si>
  <si>
    <t>[Sequence Name](#sequence_name)</t>
  </si>
  <si>
    <t>[Security](#security)</t>
  </si>
  <si>
    <t>[New SD Card ID](#sd_id_new)</t>
  </si>
  <si>
    <t>[SD Card Status (% Full)](#sd_card_status)</t>
  </si>
  <si>
    <t>[SD Card Replaced](#sd_card_replaced)</t>
  </si>
  <si>
    <t>[SD Card ID](#sd_card_id)</t>
  </si>
  <si>
    <t>[Sample Station Name](#sample_station_name)</t>
  </si>
  <si>
    <t>[Remaining Battery (%)](#remaining_battery_percent)</t>
  </si>
  <si>
    <t>[Purpose of Visit](#purpose_of_visit)</t>
  </si>
  <si>
    <t>[Project Name](#project_name)</t>
  </si>
  <si>
    <t>[Project Description](#project_description)</t>
  </si>
  <si>
    <t>[Project Coordinator Email](#project_coordinator_email)</t>
  </si>
  <si>
    <t>[Project Coordinator](#project_coordinator)</t>
  </si>
  <si>
    <t>[# Of Images](#number_of_images)</t>
  </si>
  <si>
    <t>[Northing Camera Location](#northing_camera_location)</t>
  </si>
  <si>
    <t>[Time-to-event (TTE) model (Moeller et al., 2018)](#mod_tte)</t>
  </si>
  <si>
    <t>[Time in front of the camera (TIFC) (Huggard, 2018; Warbington &amp; Boyce, 2020; tested in Becker et al., 2022)](#mod_tifc)</t>
  </si>
  <si>
    <t>[Space-to-event (STE) model (Moeller et al., 2018)](#mod_ste)</t>
  </si>
  <si>
    <t>[Spatial mark-resight (SMR) (Chandler &amp; Royle, 2013; Sollmann et al., 2013a, 2013b)](#mod_smr)</t>
  </si>
  <si>
    <t>[Spatially explicit capture-recapture (SECR) / Spatial capture-recapture (SCR) (Borchers &amp; Efford, 2008; Efford, 2004; Royle &amp; Young, 2008; Royle et al., 2009)](#mod_scr_secr)</t>
  </si>
  <si>
    <t>[Spatial count (SC) model / Unmarked spatial capture-recapture (Chandler &amp; Royle, 2013)](#mod_sc)</t>
  </si>
  <si>
    <t>[Royle-Nichols model (Royle &amp; Nichols, 2003; MacKenzie et al., 2006)](#mod_royle_nichols)</t>
  </si>
  <si>
    <t>[Random encounter and staying time (REST) model (Nakashima et al., 2018)](#mod_rest)</t>
  </si>
  <si>
    <t>[Random encounter model (REM) (Rowcliffe et al., 2008, 2013)](#mod_rem)</t>
  </si>
  <si>
    <t>[Zero-inflated Poisson (ZIP) regression (Lambert, 1992)](#mod_rai_zip)</t>
  </si>
  <si>
    <t>[Zero-inflated negative binomial (ZINB) regression (McCullagh &amp; Nelder, 1989)](#mod_rai_zinb)</t>
  </si>
  <si>
    <t>[Negative binomial (NB) regression (Mullahy, 1986)](#mod_rai_nb)</t>
  </si>
  <si>
    <t>[Hurdle model (Mullahy, 1986; Heilbron 1994)](#mod_rai_hurdle)</t>
  </si>
  <si>
    <t>[Occupancy model (MacKenzie et al., 2002)](#mod_occupancy)</t>
  </si>
  <si>
    <t>[Mark-resight (MR) model (Arnason et al., 1991; McClintock et al., 2009)](#mod_mr)</t>
  </si>
  <si>
    <t>[Instantaneous sampling (IS) model (Moeller et al., 2018)](#mod_is)</t>
  </si>
  <si>
    <t>[Distance sampling (DS) model (Howe et al., 2017)](#mod_ds)</t>
  </si>
  <si>
    <t>[Capture-recapture (CR) / Capture-mark-recapture (CMR) (Karanth, 1995; Karanth &amp; Nichols, 1998)](#mod_cr_cmr)</t>
  </si>
  <si>
    <t>[Categorical partial identity model (Categorical SPIM; catSPIM) (Augustine et al., 2019; Sun et al., 2022)](#mod_catspim)</t>
  </si>
  <si>
    <t>[Spatial partial identity model (2-flank SPIM) (Augustine et al., 2018)](#mod_2flankspim)</t>
  </si>
  <si>
    <t>[Longitude Camera Location](#longitude_camera_location)</t>
  </si>
  <si>
    <t>[Latitude Camera Location](#latitude_camera_location)</t>
  </si>
  <si>
    <t>[Key ID](#key_id)</t>
  </si>
  <si>
    <t>[Individual Count](#individual_count)</t>
  </si>
  <si>
    <t>[Human Transport Mode/Activity](#human_transport_mode_activity)</t>
  </si>
  <si>
    <t>[GPS Unit Accuracy (m) ](#gps_unit_accuracy)</t>
  </si>
  <si>
    <t>[FOV Target Feature Distance (m)](#fov_target_distance)</t>
  </si>
  <si>
    <t>[FOV Target Feature](#fov_target)</t>
  </si>
  <si>
    <t>[Field of View (FOV)](#field_of_view)</t>
  </si>
  <si>
    <t>[Event Type](#event_type)</t>
  </si>
  <si>
    <t>[Easting Camera Location](#easting_camera_location)</t>
  </si>
  <si>
    <t>[Deployment Start Date Time (DD-MMM-YYYY HH:MM:SS)](#deployment_start_date_time)</t>
  </si>
  <si>
    <t>[Deployment Name](#deployment_name)</t>
  </si>
  <si>
    <t>[Deployment End Date Time (DD-MMM-YYYY HH:MM:SS)](#deployment_end_date_time)</t>
  </si>
  <si>
    <t>[Deployment Crew](#deployment_crew)</t>
  </si>
  <si>
    <t>[Deployment Comments](#deployment_comments)</t>
  </si>
  <si>
    <t>[Deployment Area Photos Taken](#deployment_area_photos_taken)</t>
  </si>
  <si>
    <t>[Deployment Area Photo Numbers](#deployment_area_photo_numbers)</t>
  </si>
  <si>
    <t>[New Camera Serial Number](#camera_serial_number_new)</t>
  </si>
  <si>
    <t>[Camera Serial Number](#camera_serial_number)</t>
  </si>
  <si>
    <t>[New Camera Model](#camera_model_new)</t>
  </si>
  <si>
    <t>[Camera Model](#camera_model)</t>
  </si>
  <si>
    <t>[New Camera Make](#camera_make_new)</t>
  </si>
  <si>
    <t>[Camera Make](#camera_make)</t>
  </si>
  <si>
    <t>[Camera Location Name](#camera_location_name)</t>
  </si>
  <si>
    <t>[Camera Location Comments](#camera_location_comments)</t>
  </si>
  <si>
    <t>[Camera Location Characteristic(s)](#camera_location_characteristics)</t>
  </si>
  <si>
    <t>[Camera location](#camera_location)</t>
  </si>
  <si>
    <t>[Camera ID](#camera_id)</t>
  </si>
  <si>
    <t>[Camera Height (m) ](#camera_height)</t>
  </si>
  <si>
    <t>[Camera Direction (degrees)](#camera_direction)</t>
  </si>
  <si>
    <t>[Camera Damaged](#camera_damaged)</t>
  </si>
  <si>
    <t>[Camera Attachment](#camera_attachment)</t>
  </si>
  <si>
    <t>[Camera Active On Departure](#camera_active_on_departure)</t>
  </si>
  <si>
    <t>[Camera Active On Arrival](#camera_active_on_arrival)</t>
  </si>
  <si>
    <t>[New Camera ID](#cam_id_new)</t>
  </si>
  <si>
    <t>[Behaviour](#behaviour)</t>
  </si>
  <si>
    <t>[Batteries Replaced](#batteries_replaced)</t>
  </si>
  <si>
    <t>[Bait/Lure Type](#baitlure_bait_lure_type)</t>
  </si>
  <si>
    <t>[Animal ID](#animal_id)</t>
  </si>
  <si>
    <t>[Analyst](#analyst)</t>
  </si>
  <si>
    <t>[Subadult - Young of Year](#age_class_subadult_youngofyear)</t>
  </si>
  <si>
    <t>[Subadult - Yearling](#age_class_subadult_yearling)</t>
  </si>
  <si>
    <t>[Subadult](#age_class_subadult)</t>
  </si>
  <si>
    <t>[Juvenile](#age_class_juvenile)</t>
  </si>
  <si>
    <t>[Adult](#age_class_adult)</t>
  </si>
  <si>
    <t>[Age Class](#age_class)</t>
  </si>
  <si>
    <t>[Access Method](#access_method)</t>
  </si>
  <si>
    <t>replace</t>
  </si>
  <si>
    <t>crew</t>
  </si>
  <si>
    <t>density</t>
  </si>
  <si>
    <t>deployment</t>
  </si>
  <si>
    <t>image</t>
  </si>
  <si>
    <t>metadata</t>
  </si>
  <si>
    <t>occupancy</t>
  </si>
  <si>
    <t>project</t>
  </si>
  <si>
    <t>pseudoreplication</t>
  </si>
  <si>
    <t>sequence</t>
  </si>
  <si>
    <t>strata</t>
  </si>
  <si>
    <t>survey</t>
  </si>
  <si>
    <t>tag</t>
  </si>
  <si>
    <t>visit</t>
  </si>
  <si>
    <t>walktest</t>
  </si>
  <si>
    <t>bait</t>
  </si>
  <si>
    <t>behaviour</t>
  </si>
  <si>
    <t>inventory</t>
  </si>
  <si>
    <t>lure</t>
  </si>
  <si>
    <t>overdispersion</t>
  </si>
  <si>
    <t>viewshed</t>
  </si>
  <si>
    <t>Access Method</t>
  </si>
  <si>
    <t>Behaviour</t>
  </si>
  <si>
    <t>Density</t>
  </si>
  <si>
    <t>Occupancy</t>
  </si>
  <si>
    <t>Inventory</t>
  </si>
  <si>
    <t>Overdispersion</t>
  </si>
  <si>
    <t>Bait</t>
  </si>
  <si>
    <t>Lure</t>
  </si>
  <si>
    <t>Crew</t>
  </si>
  <si>
    <t>Visit</t>
  </si>
  <si>
    <t>Deployment</t>
  </si>
  <si>
    <t>Walktest</t>
  </si>
  <si>
    <t>Security</t>
  </si>
  <si>
    <t>Viewshed</t>
  </si>
  <si>
    <t>Image</t>
  </si>
  <si>
    <t>Analyst</t>
  </si>
  <si>
    <t>Species</t>
  </si>
  <si>
    <t>Tag</t>
  </si>
  <si>
    <t>Adult</t>
  </si>
  <si>
    <t>Juvenile</t>
  </si>
  <si>
    <t>Subadult</t>
  </si>
  <si>
    <t>Project</t>
  </si>
  <si>
    <t>Survey</t>
  </si>
  <si>
    <t>Metadata</t>
  </si>
  <si>
    <t>Pseudoreplication</t>
  </si>
  <si>
    <t>Sequence</t>
  </si>
  <si>
    <t>Strata</t>
  </si>
  <si>
    <t>find</t>
  </si>
  <si>
    <t>[detection probabilities](#detection_probability)</t>
  </si>
  <si>
    <t>[Detection probability](#detection_probability)</t>
  </si>
  <si>
    <t>[angle](#camera_angle)</t>
  </si>
  <si>
    <t>[Camera Height](#camera_height)</t>
  </si>
  <si>
    <t>[Camera Direction](#camera_direction)</t>
  </si>
  <si>
    <t>[surveys](#survey)</t>
  </si>
  <si>
    <t>[Deployment End Date Time](#deployment_end_date_time)</t>
  </si>
  <si>
    <t>[Deployment Start Date Time](#deployment_start_date_time)</t>
  </si>
  <si>
    <t>age_class_adult</t>
  </si>
  <si>
    <t>analyst</t>
  </si>
  <si>
    <t>baitlure_bait</t>
  </si>
  <si>
    <t>mod_inventory</t>
  </si>
  <si>
    <t>age_class_juvenile</t>
  </si>
  <si>
    <t>baitlure_lure</t>
  </si>
  <si>
    <t>obj_occupancy</t>
  </si>
  <si>
    <t>mod_overdispersion</t>
  </si>
  <si>
    <t>security</t>
  </si>
  <si>
    <t>species</t>
  </si>
  <si>
    <t>age_class_subadult</t>
  </si>
  <si>
    <t>fov_viewshed</t>
  </si>
  <si>
    <t>ref_intext_</t>
  </si>
  <si>
    <t>rtxt_</t>
  </si>
  <si>
    <t>ref_bib_</t>
  </si>
  <si>
    <t>rbib_</t>
  </si>
  <si>
    <t>[REST](#mod_rest)</t>
  </si>
  <si>
    <t>[REM](#mod_rem)</t>
  </si>
  <si>
    <t>[detectability](#detection_probability)</t>
  </si>
  <si>
    <t>[make](#camera_make)</t>
  </si>
  <si>
    <t>[model](#camera_model)</t>
  </si>
  <si>
    <t>[objectives](#survey_objectives)</t>
  </si>
  <si>
    <t>[random](#sampledesign_random)</t>
  </si>
  <si>
    <t>[Angle](#camera_angle)</t>
  </si>
  <si>
    <t>[CMR](#mod_cr_cmr)</t>
  </si>
  <si>
    <t>[Make](#camera_make)</t>
  </si>
  <si>
    <t>[Model](#camera_model)</t>
  </si>
  <si>
    <t>[Objectives](#survey_objectives)</t>
  </si>
  <si>
    <t>[SECR](#mod_scr_secr)</t>
  </si>
  <si>
    <t>[Serial Number](#camera_serial_number)</t>
  </si>
  <si>
    <t>[FOV](#field_of_view)</t>
  </si>
  <si>
    <t>[N-mixture](#mod_n_mixture)</t>
  </si>
  <si>
    <t>[ZINB](#mod_rai_zinb)</t>
  </si>
  <si>
    <t>[ZIP](#mod_rai_zip)</t>
  </si>
  <si>
    <t>[SC](#mod_sc)</t>
  </si>
  <si>
    <t>[SMR](#mod_smr)</t>
  </si>
  <si>
    <t>[Poisson](#mod_rai_poisson)</t>
  </si>
  <si>
    <t>[Absolute abundance](#obj_abundance)</t>
  </si>
  <si>
    <t>[SCR](#mod_scr_secr)</t>
  </si>
  <si>
    <t>[catSPIM](#mod_catspim)</t>
  </si>
  <si>
    <t>[CR](#mod_cr_cmr)</t>
  </si>
  <si>
    <t>[Random](#sampledesign_random)</t>
  </si>
  <si>
    <t>[Camera Location Characteristics](#camera_location_characteristics)</t>
  </si>
  <si>
    <t>[FOV Target Feature Distance](#fov_target_distance)</t>
  </si>
  <si>
    <t>[GPS Unit Accuracy](#gps_unit_accuracy)</t>
  </si>
  <si>
    <t>[SD Card Status](#sd_card_status)</t>
  </si>
  <si>
    <t>[Quiet Period ](#settings_quiet_period)</t>
  </si>
  <si>
    <t>[Video Length](#settings_video_length)</t>
  </si>
  <si>
    <t>[Stake Distance](#stake_distance)</t>
  </si>
  <si>
    <t>[Walktest Distance](#walktest_distance)</t>
  </si>
  <si>
    <t>[Walktest Height](#walktest_height)</t>
  </si>
  <si>
    <t>[Random design](#sampledesign_random)</t>
  </si>
  <si>
    <t>[Behaviours](#behaviour)</t>
  </si>
  <si>
    <t>[Camera locations](#camera_location)</t>
  </si>
  <si>
    <t>[False triggers](#false_trigger)</t>
  </si>
  <si>
    <t>[Projects](#project)</t>
  </si>
  <si>
    <t>[Sample stations](#sample_station)</t>
  </si>
  <si>
    <t>[Sequences](#sequence)</t>
  </si>
  <si>
    <t>[State variables](#state_variable)</t>
  </si>
  <si>
    <t>[Study areas](#study_area)</t>
  </si>
  <si>
    <t>[Surveys](#survey)</t>
  </si>
  <si>
    <t>[Tags](#tag)</t>
  </si>
  <si>
    <t>[Test images](#test_image)</t>
  </si>
  <si>
    <t>[Time-lapse images](#timelapse_image)</t>
  </si>
  <si>
    <t>[Visits](#visit)</t>
  </si>
  <si>
    <t>[Sex Classes](#sex_class)</t>
  </si>
  <si>
    <t>[Survey Designs](#survey_design)</t>
  </si>
  <si>
    <t>[Age Classes](#age_class)</t>
  </si>
  <si>
    <t>[Occupancy models (MacKenzie et al., 2002)](#mod_occupancy)</t>
  </si>
  <si>
    <t>[sequences](#sequence)</t>
  </si>
  <si>
    <t>[behaviours](#behaviour)</t>
  </si>
  <si>
    <t>[camera locations](#camera_location)</t>
  </si>
  <si>
    <t>[false triggers](#false_trigger)</t>
  </si>
  <si>
    <t>[projects](#project)</t>
  </si>
  <si>
    <t>[sample stations](#sample_station)</t>
  </si>
  <si>
    <t>[state variables](#state_variable)</t>
  </si>
  <si>
    <t>[study areas](#study_area)</t>
  </si>
  <si>
    <t>[tags](#tag)</t>
  </si>
  <si>
    <t>[test images](#test_image)</t>
  </si>
  <si>
    <t>[time-lapse images](#timelapse_image)</t>
  </si>
  <si>
    <t>[visits](#visit)</t>
  </si>
  <si>
    <t>field</t>
  </si>
  <si>
    <t>term</t>
  </si>
  <si>
    <t>[detection rates](#detection_rate)</t>
  </si>
  <si>
    <t>[Detection rates](#detection_rate)</t>
  </si>
  <si>
    <t>ddd</t>
  </si>
  <si>
    <t>dd</t>
  </si>
  <si>
    <t>tu</t>
  </si>
  <si>
    <t>tl</t>
  </si>
  <si>
    <t>key</t>
  </si>
  <si>
    <t>key_type</t>
  </si>
  <si>
    <t>field_option</t>
  </si>
  <si>
    <t>[triggers](#trigger_event)</t>
  </si>
  <si>
    <t xml:space="preserve">[randomly placed](#sampledesign_random) </t>
  </si>
  <si>
    <t>[occupancy models](#mod_occupancy)</t>
  </si>
  <si>
    <t xml:space="preserve">Detections are [independent](#independent_detections) </t>
  </si>
  <si>
    <t>[image classification](#img_classification)</t>
  </si>
  <si>
    <t>[image classification confidence ](#img_classification_confidence)</t>
  </si>
  <si>
    <t>[image processing](#img_processing)</t>
  </si>
  <si>
    <t>[image tagging](#img_tagging)</t>
  </si>
  <si>
    <t>[Deployment Image Count](#deployment_img_count)</t>
  </si>
  <si>
    <t>[Image classification](#img_classification)</t>
  </si>
  <si>
    <t>[Image classification confidence ](#img_classification_confidence)</t>
  </si>
  <si>
    <t>[Image Flash Output](#img_flash_output)</t>
  </si>
  <si>
    <t>[Image Infrared Illuminator](#img_infrared_illuminator)</t>
  </si>
  <si>
    <t>[Image Name](#img_name)</t>
  </si>
  <si>
    <t>[Image processing](#img_processing)</t>
  </si>
  <si>
    <t>[Image Sequence](#img_sequence)</t>
  </si>
  <si>
    <t>[Image/Sequence Comments](#img_sequence_comments)</t>
  </si>
  <si>
    <t>[Image/Sequence Date Time (DD-MMM-YYYY HH:MM:SS)](#img_sequence_date_time)</t>
  </si>
  <si>
    <t>[Image/Sequence Date Time](#](#img_sequence_date_time)</t>
  </si>
  <si>
    <t>[Image Set End Date Time (DD-MMM-YYYY HH:MM:SS)](#img_set_end_date_time)</t>
  </si>
  <si>
    <t>[Image Set End Date Time](#img_set_end_date_time)</t>
  </si>
  <si>
    <t>[Image Set Start Date Time (DD-MMM-YYYY HH:MM:SS)](#img_set_start_date_time)</t>
  </si>
  <si>
    <t>[Image Set Start Date Time](#img_set_start_date_time)</t>
  </si>
  <si>
    <t>[Image tagging](#img_tagging)</t>
  </si>
  <si>
    <t>[Image Trigger Mode](#img_trigger_mode)</t>
  </si>
  <si>
    <t>[Image Trigger Modes](#img_trigger_mode)</t>
  </si>
  <si>
    <t>[Motion Image Interval (seconds)](#settings_motion_img_interval)</t>
  </si>
  <si>
    <t>[Motion Image Interval](#settings_motion_img_interval)</t>
  </si>
  <si>
    <t>[Test Image Taken](#test_img_taken)</t>
  </si>
  <si>
    <t>[modelling approach](#mod_approach)</t>
  </si>
  <si>
    <t>[approach](#mod_approach)</t>
  </si>
  <si>
    <t>[model assumption](#mod_assumption)</t>
  </si>
  <si>
    <t>[assumption](#mod_assumption)</t>
  </si>
  <si>
    <t>[assumptions](#mod_assumption)</t>
  </si>
  <si>
    <t>[Modelling approach](#mod_approach)</t>
  </si>
  <si>
    <t>[Modelling approaches](#mod_approach)</t>
  </si>
  <si>
    <t>[Model assumption](#mod_assumption)</t>
  </si>
  <si>
    <t>[Model assumptions](#mod_assumption)</t>
  </si>
  <si>
    <t>https://www.ablebits.com/office-addins-blog/vlookup-case-sensitive-excel/</t>
  </si>
  <si>
    <t>lookup_exact</t>
  </si>
  <si>
    <t>[random design](#sampledesign_random)</t>
  </si>
  <si>
    <t>[study objectives](#survey_objectives)</t>
  </si>
  <si>
    <t>[detection probability](#detection_probability)</t>
  </si>
  <si>
    <t>[**relative abundance indices**](#mod_relative_abundance)</t>
  </si>
  <si>
    <t>[objective](#survey_objectives)</t>
  </si>
  <si>
    <t>[Objective](#survey_objectives)</t>
  </si>
  <si>
    <t>text_single</t>
  </si>
  <si>
    <t>[marked](#typeid_marked)</t>
  </si>
  <si>
    <t>[marked individuals / populations / species](#typeid_marked)</t>
  </si>
  <si>
    <t>[Marked individuals / populations / species](#typeid_marked)</t>
  </si>
  <si>
    <t>[Marked](#typeid_marked)</t>
  </si>
  <si>
    <t>[partially marked](#typeid_partially_marked)</t>
  </si>
  <si>
    <t>[Partially marked](#typeid_partially_marked)</t>
  </si>
  <si>
    <t>[partially marked individuals / populations / species](#typeid_partially_marked)</t>
  </si>
  <si>
    <t>[Partially marked individuals / populations / species](#typeid_partially_marked)</t>
  </si>
  <si>
    <t>[unmarked individuals / populations / species](#typeid_unmarked)</t>
  </si>
  <si>
    <t>[Unmarked individuals / populations / species](#typeid_unmarked)</t>
  </si>
  <si>
    <t>[unmarked](#typeid_unmarked)</t>
  </si>
  <si>
    <t>[Unmarked](#typeid_unmarked)</t>
  </si>
  <si>
    <t>abundance</t>
  </si>
  <si>
    <t>xxx</t>
  </si>
  <si>
    <t>[capture-recapture (CR)](#mod_cr_smr)</t>
  </si>
  <si>
    <t>{{ mod_cmr_tu_abrv_txt }}</t>
  </si>
  <si>
    <t>{{ mod_rai_tl }}</t>
  </si>
  <si>
    <t xml:space="preserve">[Survey Objective](#survey_objectives) </t>
  </si>
  <si>
    <t>[camera location](#camera_location)</t>
  </si>
  <si>
    <t>{{ survey_objectives_tu }}</t>
  </si>
  <si>
    <t>{{ survey_objectives_tl_mod }}</t>
  </si>
  <si>
    <t>{{ cam_location_tl }}</t>
  </si>
  <si>
    <t>[Walktest Distance (m)](#walktest_distance)</t>
  </si>
  <si>
    <t>{{ walktest_distance_tu }}</t>
  </si>
  <si>
    <t>{{ sampledesign_random_tl_abrv }}</t>
  </si>
  <si>
    <t>{{ sampledesign_random_tl_nu }}</t>
  </si>
  <si>
    <t>[n-mixture](#mod_n_mixture)</t>
  </si>
  <si>
    <t xml:space="preserve">  formats: md:myst</t>
  </si>
  <si>
    <t>formats: md:myst</t>
  </si>
  <si>
    <t xml:space="preserve">  text_representation:</t>
  </si>
  <si>
    <t>text_representation:</t>
  </si>
  <si>
    <t xml:space="preserve">    extension: .md</t>
  </si>
  <si>
    <t>extension: .md</t>
  </si>
  <si>
    <t xml:space="preserve">    format_name: myst</t>
  </si>
  <si>
    <t>format_name: myst</t>
  </si>
  <si>
    <t xml:space="preserve">    format_version:</t>
  </si>
  <si>
    <t>format_version:</t>
  </si>
  <si>
    <t xml:space="preserve">    jupytext_version:</t>
  </si>
  <si>
    <t>jupytext_version:</t>
  </si>
  <si>
    <t xml:space="preserve">  display_name: Python 3</t>
  </si>
  <si>
    <t xml:space="preserve">  language: python</t>
  </si>
  <si>
    <t>language: python</t>
  </si>
  <si>
    <t xml:space="preserve">  name: python3</t>
  </si>
  <si>
    <t>name: python3</t>
  </si>
  <si>
    <t xml:space="preserve">  markdown: </t>
  </si>
  <si>
    <t>wrap: none</t>
  </si>
  <si>
    <t>**{{ mod_rai_tl_pl }}**</t>
  </si>
  <si>
    <t>{{ age_class_tu_pl }}</t>
  </si>
  <si>
    <t>{{ behaviour_tl_pl }}</t>
  </si>
  <si>
    <t>{{ behaviour_tu_pl }}</t>
  </si>
  <si>
    <t>{{ cam_angle_tl_abrv }}</t>
  </si>
  <si>
    <t>{{ cam_angle_tu_abrv }}</t>
  </si>
  <si>
    <t>{{ cam_direction_tu_nu }}</t>
  </si>
  <si>
    <t>{{ cam_height_tu_nu }}</t>
  </si>
  <si>
    <t>{{ cam_location_tl_pl }}</t>
  </si>
  <si>
    <t>{{ cam_location_tu_pl }}</t>
  </si>
  <si>
    <t>{{ cam_location_characteristics_tu_mod }}</t>
  </si>
  <si>
    <t>{{ cam_make_tl_abrv }}</t>
  </si>
  <si>
    <t>{{ cam_make_tu_abrv }}</t>
  </si>
  <si>
    <t>{{ cam_model_tl_abrv }}</t>
  </si>
  <si>
    <t>{{ cam_model_tu_abrv }}</t>
  </si>
  <si>
    <t>{{ cam_serial_number_tu_abrv }}</t>
  </si>
  <si>
    <t>{{ deployment_end_date_time_tu_nu }}</t>
  </si>
  <si>
    <t>{{ deployment_start_date_time_tu_nu }}</t>
  </si>
  <si>
    <t>{{ detection_probability_tl_abrv2 }}</t>
  </si>
  <si>
    <t>{{ detection_probability_tl_pl }}</t>
  </si>
  <si>
    <t>{{ detection_probability_tl_abrv }}</t>
  </si>
  <si>
    <t>{{ detection_probability_tu_abrv }}</t>
  </si>
  <si>
    <t>{{ detection_rate_tl_pl }}</t>
  </si>
  <si>
    <t>{{ detection_rate_tu_pl }}</t>
  </si>
  <si>
    <t>{{ false_trigger_tl_pl }}</t>
  </si>
  <si>
    <t>{{ false_trigger_tu_pl }}</t>
  </si>
  <si>
    <t>{{ field_of_view_tu_abrv }}</t>
  </si>
  <si>
    <t>{{ fov_target_distance_tu_nu }}</t>
  </si>
  <si>
    <t>{{ gps_unit_accuracy_tu_nu }}</t>
  </si>
  <si>
    <t>{{ img_sequence_date_time_tu_nu }}</t>
  </si>
  <si>
    <t>{{ img_set_end_date_time_tu_nu }}</t>
  </si>
  <si>
    <t>{{ img_set_start_date_time_tu_nu }}</t>
  </si>
  <si>
    <t>{{ img_trigger_mode_tu_pl }}</t>
  </si>
  <si>
    <t>{{ mod_approach_tl_abrv }}</t>
  </si>
  <si>
    <t>{{ mod_approach_tu_pl }}</t>
  </si>
  <si>
    <t>{{ mod_assumption_tl_abrv }}</t>
  </si>
  <si>
    <t>{{ mod_assumption_tl_abrv_pl }}</t>
  </si>
  <si>
    <t>{{ mod_assumption_tu_pl }}</t>
  </si>
  <si>
    <t>{{ mod_catspim_tu_abrv }}</t>
  </si>
  <si>
    <t>{{ mod_cmr_tu_abrv }}</t>
  </si>
  <si>
    <t>{{ mod_cr_tu_abrv }}</t>
  </si>
  <si>
    <t>{{ mod_n_mixture_tl_abrv }}</t>
  </si>
  <si>
    <t>{{ mod_n_mixture_tu_abrv }}</t>
  </si>
  <si>
    <t>{{ mod_occupancy_tu_pl }}</t>
  </si>
  <si>
    <t>{{ mod_occupancy_tl_abrv_pl }}</t>
  </si>
  <si>
    <t>{{ mod_rai_poisson_tu_abrv }}</t>
  </si>
  <si>
    <t>{{ mod_rai_zinb_tu_abrv }}</t>
  </si>
  <si>
    <t>{{ mod_rai_zip_tu_abrv }}</t>
  </si>
  <si>
    <t>{{ mod_rem_tu_abrv }}</t>
  </si>
  <si>
    <t>{{ mod_rest_tu_abrv }}</t>
  </si>
  <si>
    <t>{{ mod_sc_tu_abrv }}</t>
  </si>
  <si>
    <t>{{ mod_scr_secr_tu_abrv }}</t>
  </si>
  <si>
    <t>{{ mod_smr_tu_abrv }}</t>
  </si>
  <si>
    <t>{{ obj_abundance_tu_abrv }}</t>
  </si>
  <si>
    <t>{{ project_tl_pl }}</t>
  </si>
  <si>
    <t>{{ project_tu_pl }}</t>
  </si>
  <si>
    <t>{{ sample_station_tl_pl }}</t>
  </si>
  <si>
    <t>{{ sample_station_tu_pl }}</t>
  </si>
  <si>
    <t>{{ sampledesign_random_tu_nu }}</t>
  </si>
  <si>
    <t>{{ sampledesign_random_tu_abrv }}</t>
  </si>
  <si>
    <t>{{ sampledesign_random_tl_mod }}</t>
  </si>
  <si>
    <t>{{ sd_card_status_tu_nu }}</t>
  </si>
  <si>
    <t>{{ sequence_tl_pl }}</t>
  </si>
  <si>
    <t>{{ sequence_tu_pl }}</t>
  </si>
  <si>
    <t>{{ settings_motion_img_interval_tu_nu }}</t>
  </si>
  <si>
    <t>{{ settings_quiet_period_tu_nu }}</t>
  </si>
  <si>
    <t>{{ settings_video_length_tu_nu }}</t>
  </si>
  <si>
    <t>{{ sex_class_tu_pl }}</t>
  </si>
  <si>
    <t>{{ stake_distance_tu_nu }}</t>
  </si>
  <si>
    <t>{{ state_variable_tl_pl }}</t>
  </si>
  <si>
    <t>{{ state_variable_tu_pl }}</t>
  </si>
  <si>
    <t>{{ study_area_tl_pl }}</t>
  </si>
  <si>
    <t>{{ study_area_tu_pl }}</t>
  </si>
  <si>
    <t>{{ survey_tl_pl }}</t>
  </si>
  <si>
    <t>{{ survey_tu_pl }}</t>
  </si>
  <si>
    <t>{{ survey_design_tu_pl }}</t>
  </si>
  <si>
    <t>{{ survey_objectives_tl_abrv }}</t>
  </si>
  <si>
    <t>{{ survey_objectives_tu_abrv }}</t>
  </si>
  <si>
    <t>{{ survey_objectives_tl_abrv_pl }}</t>
  </si>
  <si>
    <t>{{ survey_objectives_tu_abrv_pl }}</t>
  </si>
  <si>
    <t>{{ tag_tl_pl }}</t>
  </si>
  <si>
    <t>{{ tag_tu_pl }}</t>
  </si>
  <si>
    <t>{{ test_image_tl_pl }}</t>
  </si>
  <si>
    <t>{{ test_image_tu_pl }}</t>
  </si>
  <si>
    <t>{{ timelapse_image_tl_pl }}</t>
  </si>
  <si>
    <t>{{ timelapse_image_tu_pl }}</t>
  </si>
  <si>
    <t>{{ trigger_event_tl_abrv }}</t>
  </si>
  <si>
    <t>{{ visit_tl_pl }}</t>
  </si>
  <si>
    <t>{{ visit_tu_pl }}</t>
  </si>
  <si>
    <t>{{ walktest_distance_tu_nu }}</t>
  </si>
  <si>
    <t>{{ walktest_height_tu_nu }}</t>
  </si>
  <si>
    <t>{{ access_method_tu }}</t>
  </si>
  <si>
    <t>{{ age_class_tu }}</t>
  </si>
  <si>
    <t>{{ age_class_adult_tu }}</t>
  </si>
  <si>
    <t>{{ age_class_juvenile_tu }}</t>
  </si>
  <si>
    <t>{{ age_class_subadult_tu }}</t>
  </si>
  <si>
    <t>{{ age_class_subadult_yearling_tu }}</t>
  </si>
  <si>
    <t>{{ age_class_subadult_youngofyear_tu }}</t>
  </si>
  <si>
    <t>{{ analyst_tu }}</t>
  </si>
  <si>
    <t>{{ animal_id_tu }}</t>
  </si>
  <si>
    <t>{{ baitlure_audible_lure_tl }}</t>
  </si>
  <si>
    <t>{{ baitlure_audible_lure_tu }}</t>
  </si>
  <si>
    <t>{{ baitlure_bait_tl }}</t>
  </si>
  <si>
    <t>{{ baitlure_bait_tu }}</t>
  </si>
  <si>
    <t>{{ baitlure_bait_lure_type_tu }}</t>
  </si>
  <si>
    <t>{{ baitlure_lure_tl }}</t>
  </si>
  <si>
    <t>{{ baitlure_lure_tu }}</t>
  </si>
  <si>
    <t>{{ baitlure_scent_lure_tl }}</t>
  </si>
  <si>
    <t>{{ baitlure_scent_lure_tu }}</t>
  </si>
  <si>
    <t>{{ baitlure_visual_lure_tl }}</t>
  </si>
  <si>
    <t>{{ baitlure_visual_lure_tu }}</t>
  </si>
  <si>
    <t>{{ batteries_replaced_tu }}</t>
  </si>
  <si>
    <t>{{ behaviour_tu }}</t>
  </si>
  <si>
    <t>{{ cam_active_on_arrival_tu }}</t>
  </si>
  <si>
    <t>{{ cam_active_on_departure_tu }}</t>
  </si>
  <si>
    <t>{{ cam_angle_tl }}</t>
  </si>
  <si>
    <t>{{ cam_angle_tu }}</t>
  </si>
  <si>
    <t>{{ cam_attachment_tu }}</t>
  </si>
  <si>
    <t>{{ cam_damaged_tu }}</t>
  </si>
  <si>
    <t>{{ cam_days_per_cam_location_tu }}</t>
  </si>
  <si>
    <t>{{ cam_direction_tu }}</t>
  </si>
  <si>
    <t>{{ cam_height_tu }}</t>
  </si>
  <si>
    <t>{{ cam_id_tu }}</t>
  </si>
  <si>
    <t>{{ cam_id_new_tu }}</t>
  </si>
  <si>
    <t>{{ cam_location_tu }}</t>
  </si>
  <si>
    <t>{{ cam_location_characteristics_tu }}</t>
  </si>
  <si>
    <t>{{ cam_location_comments_tu }}</t>
  </si>
  <si>
    <t>{{ cam_location_name_tu }}</t>
  </si>
  <si>
    <t>{{ cam_make_tu }}</t>
  </si>
  <si>
    <t>{{ cam_make_new_tu }}</t>
  </si>
  <si>
    <t>{{ cam_model_tu }}</t>
  </si>
  <si>
    <t>{{ cam_model_new_tu }}</t>
  </si>
  <si>
    <t>{{ cam_serial_number_tu }}</t>
  </si>
  <si>
    <t>{{ cam_serial_number_new_tu }}</t>
  </si>
  <si>
    <t>{{ cam_spacing_tl }}</t>
  </si>
  <si>
    <t>{{ cam_spacing_tu }}</t>
  </si>
  <si>
    <t>{{ crew_tl }}</t>
  </si>
  <si>
    <t>{{ crew_tu }}</t>
  </si>
  <si>
    <t>{{ cumulative_det_probability_tl }}</t>
  </si>
  <si>
    <t>{{ cumulative_det_probability_tu }}</t>
  </si>
  <si>
    <t>{{ density_tl }}</t>
  </si>
  <si>
    <t>{{ density_tu }}</t>
  </si>
  <si>
    <t>{{ deployment_tl }}</t>
  </si>
  <si>
    <t>{{ deployment_tu }}</t>
  </si>
  <si>
    <t>{{ deployment_area_photo_numbers_tu }}</t>
  </si>
  <si>
    <t>{{ deployment_area_photos_tl }}</t>
  </si>
  <si>
    <t>{{ deployment_area_photos_tu }}</t>
  </si>
  <si>
    <t>{{ deployment_area_photos_taken_tu }}</t>
  </si>
  <si>
    <t>{{ deployment_comments_tu }}</t>
  </si>
  <si>
    <t>{{ deployment_crew_tu }}</t>
  </si>
  <si>
    <t>{{ deployment_end_date_time_tu }}</t>
  </si>
  <si>
    <t>{{ deployment_img_count_tu }}</t>
  </si>
  <si>
    <t>{{ deployment_metadata_tl }}</t>
  </si>
  <si>
    <t>{{ deployment_metadata_tu }}</t>
  </si>
  <si>
    <t>{{ deployment_name_tu }}</t>
  </si>
  <si>
    <t>{{ deployment_start_date_time_tu }}</t>
  </si>
  <si>
    <t>{{ deployment_visit_tl }}</t>
  </si>
  <si>
    <t>{{ deployment_visit_tu }}</t>
  </si>
  <si>
    <t>{{ detection_distance_tl }}</t>
  </si>
  <si>
    <t>{{ detection_distance_tu }}</t>
  </si>
  <si>
    <t>{{ detection_event_tl }}</t>
  </si>
  <si>
    <t>{{ detection_event_tu }}</t>
  </si>
  <si>
    <t>{{ detection_probability_tl_aka }}</t>
  </si>
  <si>
    <t>{{ detection_probability_tu_aka }}</t>
  </si>
  <si>
    <t>{{ detection_rate_tl }}</t>
  </si>
  <si>
    <t>{{ detection_rate_tu }}</t>
  </si>
  <si>
    <t>{{ detection_zone_tl }}</t>
  </si>
  <si>
    <t>{{ detection_zone_tu }}</t>
  </si>
  <si>
    <t>{{ easting_cam_location_tu }}</t>
  </si>
  <si>
    <t>{{ effective_detection_distance_tl }}</t>
  </si>
  <si>
    <t>{{ effective_detection_distance_tu }}</t>
  </si>
  <si>
    <t>{{ event_type_tu }}</t>
  </si>
  <si>
    <t>{{ false_trigger_tl }}</t>
  </si>
  <si>
    <t>{{ false_trigger_tu }}</t>
  </si>
  <si>
    <t>{{ field_of_view_tu }}</t>
  </si>
  <si>
    <t>{{ fov_registration_area_tl }}</t>
  </si>
  <si>
    <t>{{ fov_registration_area_tu }}</t>
  </si>
  <si>
    <t>{{ fov_target_tu }}</t>
  </si>
  <si>
    <t>{{ fov_target_distance_tu }}</t>
  </si>
  <si>
    <t>{{ fov_viewshed_tl }}</t>
  </si>
  <si>
    <t>{{ fov_viewshed_tu }}</t>
  </si>
  <si>
    <t>{{ fov_viewshed_density_estimators_tl }}</t>
  </si>
  <si>
    <t>{{ fov_viewshed_density_estimators_tu }}</t>
  </si>
  <si>
    <t>{{ gps_unit_accuracy_tu }}</t>
  </si>
  <si>
    <t>{{ human_transport_mode_activity_tu }}</t>
  </si>
  <si>
    <t>{{ image_tl }}</t>
  </si>
  <si>
    <t>{{ image_tu }}</t>
  </si>
  <si>
    <t>{{ img_classification_tl }}</t>
  </si>
  <si>
    <t>{{ img_classification_tu }}</t>
  </si>
  <si>
    <t>{{ img_classification_confidence_tl }}</t>
  </si>
  <si>
    <t>{{ img_classification_confidence_tu }}</t>
  </si>
  <si>
    <t>{{ img_flash_output_tu }}</t>
  </si>
  <si>
    <t>{{ img_infrared_illuminator_tu }}</t>
  </si>
  <si>
    <t>{{ img_name_tu }}</t>
  </si>
  <si>
    <t>{{ img_processing_tl }}</t>
  </si>
  <si>
    <t>{{ img_processing_tu }}</t>
  </si>
  <si>
    <t>{{ img_sequence_tu }}</t>
  </si>
  <si>
    <t>{{ img_sequence_comments_tu }}</t>
  </si>
  <si>
    <t>{{ img_sequence_date_time_tu }}</t>
  </si>
  <si>
    <t>{{ img_set_end_date_time_tu }}</t>
  </si>
  <si>
    <t>{{ img_set_start_date_time_tu }}</t>
  </si>
  <si>
    <t>{{ img_tagging_tl }}</t>
  </si>
  <si>
    <t>{{ img_tagging_tu }}</t>
  </si>
  <si>
    <t>{{ img_trigger_mode_tu }}</t>
  </si>
  <si>
    <t>{{ imperfect_detection_tl }}</t>
  </si>
  <si>
    <t>{{ imperfect_detection_tu }}</t>
  </si>
  <si>
    <t>{{ independent_detections_tl }}</t>
  </si>
  <si>
    <t>{{ independent_detections_tu }}</t>
  </si>
  <si>
    <t>{{ independent_detections_tu_modtxt }}</t>
  </si>
  <si>
    <t>{{ individual_count_tu }}</t>
  </si>
  <si>
    <t>{{ inter_detection_interval_tl }}</t>
  </si>
  <si>
    <t>{{ inter_detection_interval_tu }}</t>
  </si>
  <si>
    <t>{{ kernel_density_estimator_tl }}</t>
  </si>
  <si>
    <t>{{ kernel_density_estimator_tu }}</t>
  </si>
  <si>
    <t>{{ key_id_tu }}</t>
  </si>
  <si>
    <t>{{ latitude_cam_location_tu }}</t>
  </si>
  <si>
    <t>{{ longitude_cam_location_tu }}</t>
  </si>
  <si>
    <t>{{ metadata_tl }}</t>
  </si>
  <si>
    <t>{{ metadata_tu }}</t>
  </si>
  <si>
    <t>{{ mod_2flankspim_tu }}</t>
  </si>
  <si>
    <t>{{ mod_approach_tl }}</t>
  </si>
  <si>
    <t>{{ mod_approach_tu }}</t>
  </si>
  <si>
    <t>{{ mod_assumption_tl }}</t>
  </si>
  <si>
    <t>{{ mod_assumption_tu }}</t>
  </si>
  <si>
    <t>{{ mod_catspim_tu }}</t>
  </si>
  <si>
    <t>{{ mod_cr_cmr_tu }}</t>
  </si>
  <si>
    <t>{{ mod_divers_rich_alpha_tl }}</t>
  </si>
  <si>
    <t>{{ mod_divers_rich_alpha_tu }}</t>
  </si>
  <si>
    <t>{{ mod_divers_rich_beta_tl }}</t>
  </si>
  <si>
    <t>{{ mod_divers_rich_beta_tu }}</t>
  </si>
  <si>
    <t>{{ mod_divers_rich_divers_tl }}</t>
  </si>
  <si>
    <t>{{ mod_divers_rich_divers_tu }}</t>
  </si>
  <si>
    <t>{{ mod_divers_rich_gamma_tl }}</t>
  </si>
  <si>
    <t>{{ mod_divers_rich_gamma_tu }}</t>
  </si>
  <si>
    <t>{{ mod_divers_rich_rich_tl }}</t>
  </si>
  <si>
    <t>{{ mod_divers_rich_rich_tu }}</t>
  </si>
  <si>
    <t>{{ mod_divers_rich_rich2_tl }}</t>
  </si>
  <si>
    <t>{{ mod_divers_rich_rich2_tu }}</t>
  </si>
  <si>
    <t>{{ mod_ds_tu }}</t>
  </si>
  <si>
    <t>{{ mod_inventory_tl }}</t>
  </si>
  <si>
    <t>{{ mod_inventory_tu }}</t>
  </si>
  <si>
    <t>{{ mod_is_tu }}</t>
  </si>
  <si>
    <t>{{ mod_mr_tu }}</t>
  </si>
  <si>
    <t>{{ mod_n_mixture_tl }}</t>
  </si>
  <si>
    <t>{{ mod_n_mixture_tu }}</t>
  </si>
  <si>
    <t>{{ mod_occupancy_tu }}</t>
  </si>
  <si>
    <t>{{ mod_overdispersion_tl }}</t>
  </si>
  <si>
    <t>{{ mod_overdispersion_tu }}</t>
  </si>
  <si>
    <t>{{ mod_rai_tu }}</t>
  </si>
  <si>
    <t>{{ mod_rai_hurdle_tu }}</t>
  </si>
  <si>
    <t>{{ mod_rai_nb_tu }}</t>
  </si>
  <si>
    <t>{{ mod_rai_poisson_tl }}</t>
  </si>
  <si>
    <t>{{ mod_rai_poisson_tu }}</t>
  </si>
  <si>
    <t>{{ mod_rai_zinb_tu }}</t>
  </si>
  <si>
    <t>{{ mod_rai_zip_tu }}</t>
  </si>
  <si>
    <t>{{ mod_rem_tu }}</t>
  </si>
  <si>
    <t>{{ mod_rest_tu }}</t>
  </si>
  <si>
    <t>{{ mod_royle_nichols_tu }}</t>
  </si>
  <si>
    <t>{{ mod_sc_tu }}</t>
  </si>
  <si>
    <t>{{ mod_scr_secr_tu }}</t>
  </si>
  <si>
    <t>{{ mod_smr_tu }}</t>
  </si>
  <si>
    <t>{{ mod_ste_tu }}</t>
  </si>
  <si>
    <t>{{ mod_tifc_tu }}</t>
  </si>
  <si>
    <t>{{ mod_tte_tu }}</t>
  </si>
  <si>
    <t>{{ mod_zero_inflation_tl }}</t>
  </si>
  <si>
    <t>{{ mod_zero_inflation_tu }}</t>
  </si>
  <si>
    <t>{{ northing_cam_location_tu }}</t>
  </si>
  <si>
    <t>{{ number_of_images_tu }}</t>
  </si>
  <si>
    <t>{{ obj_abundance_tl }}</t>
  </si>
  <si>
    <t>{{ obj_abundance_tu }}</t>
  </si>
  <si>
    <t>{{ obj_behaviour_tl }}</t>
  </si>
  <si>
    <t>{{ obj_behaviour_tu }}</t>
  </si>
  <si>
    <t>{{ obj_density_tl }}</t>
  </si>
  <si>
    <t>{{ obj_density_tu }}</t>
  </si>
  <si>
    <t>{{ obj_divers_rich_tl }}</t>
  </si>
  <si>
    <t>{{ obj_divers_rich_tu }}</t>
  </si>
  <si>
    <t>{{ obj_inventory_tl }}</t>
  </si>
  <si>
    <t>{{ obj_inventory_tu }}</t>
  </si>
  <si>
    <t>{{ obj_occupancy_tl }}</t>
  </si>
  <si>
    <t>{{ obj_occupancy_tu }}</t>
  </si>
  <si>
    <t>{{ obj_rel_abund_tl }}</t>
  </si>
  <si>
    <t>{{ obj_rel_abund_tu }}</t>
  </si>
  <si>
    <t>{{ obj_vital_rate_tl }}</t>
  </si>
  <si>
    <t>{{ obj_vital_rate_tu }}</t>
  </si>
  <si>
    <t>{{ occupancy_tl }}</t>
  </si>
  <si>
    <t>{{ occupancy_tu }}</t>
  </si>
  <si>
    <t>{{ project_tl }}</t>
  </si>
  <si>
    <t>{{ project_tu }}</t>
  </si>
  <si>
    <t>{{ project_coordinator_tu }}</t>
  </si>
  <si>
    <t>{{ project_coordinator_email_tu }}</t>
  </si>
  <si>
    <t>{{ project_description_tu }}</t>
  </si>
  <si>
    <t>{{ project_name_tu }}</t>
  </si>
  <si>
    <t>{{ pseudoreplication_tl }}</t>
  </si>
  <si>
    <t>{{ pseudoreplication_tu }}</t>
  </si>
  <si>
    <t>{{ purpose_of_visit_tu }}</t>
  </si>
  <si>
    <t>{{ recovery_time_tl }}</t>
  </si>
  <si>
    <t>{{ recovery_time_tu }}</t>
  </si>
  <si>
    <t>{{ remaining_battery_percent_tu }}</t>
  </si>
  <si>
    <t>{{ sample_station_tl }}</t>
  </si>
  <si>
    <t>{{ sample_station_tu }}</t>
  </si>
  <si>
    <t>{{ sample_station_name_tu }}</t>
  </si>
  <si>
    <t>{{ sampledesign_clustered_tl }}</t>
  </si>
  <si>
    <t>{{ sampledesign_clustered_tu }}</t>
  </si>
  <si>
    <t>{{ sampledesign_convenience_tl }}</t>
  </si>
  <si>
    <t>{{ sampledesign_convenience_tu }}</t>
  </si>
  <si>
    <t>{{ sampledesign_paired_tl }}</t>
  </si>
  <si>
    <t>{{ sampledesign_paired_tu }}</t>
  </si>
  <si>
    <t>{{ sampledesign_random_tl }}</t>
  </si>
  <si>
    <t>{{ sampledesign_random_tu }}</t>
  </si>
  <si>
    <t>{{ sampledesign_stratified_tl }}</t>
  </si>
  <si>
    <t>{{ sampledesign_stratified_tu }}</t>
  </si>
  <si>
    <t>{{ sampledesign_stratified_random_tl }}</t>
  </si>
  <si>
    <t>{{ sampledesign_stratified_random_tu }}</t>
  </si>
  <si>
    <t>{{ sampledesign_systematic_tl }}</t>
  </si>
  <si>
    <t>{{ sampledesign_systematic_tu }}</t>
  </si>
  <si>
    <t>{{ sampledesign_systematic_random_tl }}</t>
  </si>
  <si>
    <t>{{ sampledesign_systematic_random_tu }}</t>
  </si>
  <si>
    <t>{{ sampledesign_targeted_tl }}</t>
  </si>
  <si>
    <t>{{ sampledesign_targeted_tu }}</t>
  </si>
  <si>
    <t>{{ sd_card_id_tu }}</t>
  </si>
  <si>
    <t>{{ sd_card_replaced_tu }}</t>
  </si>
  <si>
    <t>{{ sd_card_status_tu }}</t>
  </si>
  <si>
    <t>{{ sd_id_new_tu }}</t>
  </si>
  <si>
    <t>{{ security_tu }}</t>
  </si>
  <si>
    <t>{{ sequence_tl }}</t>
  </si>
  <si>
    <t>{{ sequence_tu }}</t>
  </si>
  <si>
    <t>{{ sequence_name_tu }}</t>
  </si>
  <si>
    <t>{{ service_retrieval_tl }}</t>
  </si>
  <si>
    <t>{{ service_retrieval_tu }}</t>
  </si>
  <si>
    <t>{{ service_retrieval_comments_tu }}</t>
  </si>
  <si>
    <t>{{ service_retrieval_crew_tu }}</t>
  </si>
  <si>
    <t>{{ service_retrieval_metadata_tl }}</t>
  </si>
  <si>
    <t>{{ service_retrieval_metadata_tu }}</t>
  </si>
  <si>
    <t>{{ service_retrieval_visit_tl }}</t>
  </si>
  <si>
    <t>{{ service_retrieval_visit_tu }}</t>
  </si>
  <si>
    <t>{{ settings_flash_output_tl }}</t>
  </si>
  <si>
    <t>{{ settings_flash_output_tu }}</t>
  </si>
  <si>
    <t>{{ settings_infrared_illum_tl }}</t>
  </si>
  <si>
    <t>{{ settings_infrared_illum_tu }}</t>
  </si>
  <si>
    <t>{{ settings_motion_img_interval_tu }}</t>
  </si>
  <si>
    <t>{{ settings_photos_per_trigger_tu }}</t>
  </si>
  <si>
    <t>{{ settings_quiet_period_tu }}</t>
  </si>
  <si>
    <t>{{ settings_trigger_modes_tu }}</t>
  </si>
  <si>
    <t>{{ settings_trigger_sensitivity_tu }}</t>
  </si>
  <si>
    <t>{{ settings_userlabel_tl }}</t>
  </si>
  <si>
    <t>{{ settings_userlabel_tu }}</t>
  </si>
  <si>
    <t>{{ settings_video_length_tu }}</t>
  </si>
  <si>
    <t>{{ sex_class_tu }}</t>
  </si>
  <si>
    <t>{{ spatial_autocorrelation_tl }}</t>
  </si>
  <si>
    <t>{{ spatial_autocorrelation_tu }}</t>
  </si>
  <si>
    <t>{{ species_tu }}</t>
  </si>
  <si>
    <t>{{ stake_distance_tu }}</t>
  </si>
  <si>
    <t>{{ state_variable_tl }}</t>
  </si>
  <si>
    <t>{{ state_variable_tu }}</t>
  </si>
  <si>
    <t>{{ strata_tl }}</t>
  </si>
  <si>
    <t>{{ strata_tu }}</t>
  </si>
  <si>
    <t>{{ study_area_tl }}</t>
  </si>
  <si>
    <t>{{ study_area_tu }}</t>
  </si>
  <si>
    <t>{{ study_area_description_tu }}</t>
  </si>
  <si>
    <t>{{ study_area_name_tu }}</t>
  </si>
  <si>
    <t>{{ survey_tl }}</t>
  </si>
  <si>
    <t>{{ survey_tu }}</t>
  </si>
  <si>
    <t>{{ survey_design_tu }}</t>
  </si>
  <si>
    <t>{{ survey_design_description_tu }}</t>
  </si>
  <si>
    <t>{{ survey_name_tu }}</t>
  </si>
  <si>
    <t>{{ survey_objectives_tu_pl }}</t>
  </si>
  <si>
    <t>{{ tag_tl }}</t>
  </si>
  <si>
    <t>{{ tag_tu }}</t>
  </si>
  <si>
    <t>{{ target_species_tu }}</t>
  </si>
  <si>
    <t>{{ test_image_tl }}</t>
  </si>
  <si>
    <t>{{ test_image_tu }}</t>
  </si>
  <si>
    <t>{{ test_image_taken_tu }}</t>
  </si>
  <si>
    <t>{{ timelapse_image_tl }}</t>
  </si>
  <si>
    <t>{{ timelapse_image_tu }}</t>
  </si>
  <si>
    <t>{{ total_number_of_cam_days_tl }}</t>
  </si>
  <si>
    <t>{{ total_number_of_cam_days_tu }}</t>
  </si>
  <si>
    <t>{{ trigger_event_tl }}</t>
  </si>
  <si>
    <t>{{ trigger_event_tu }}</t>
  </si>
  <si>
    <t>{{ trigger_speed_tl }}</t>
  </si>
  <si>
    <t>{{ trigger_speed_tu }}</t>
  </si>
  <si>
    <t>{{ typeid_marked_tl }}</t>
  </si>
  <si>
    <t>{{ typeid_marked_tu }}</t>
  </si>
  <si>
    <t>{{ typeid_marked_tl_abrv }}</t>
  </si>
  <si>
    <t>{{ typeid_marked_tu_abrv }}</t>
  </si>
  <si>
    <t>{{ typeid_partially_marked_tl }}</t>
  </si>
  <si>
    <t>{{ typeid_partially_marked_tu }}</t>
  </si>
  <si>
    <t>{{ typeid_partially_marked_tl_abrv }}</t>
  </si>
  <si>
    <t>{{ typeid_partially_marked_tu_abrv }}</t>
  </si>
  <si>
    <t>{{ typeid_unmarked_tl }}</t>
  </si>
  <si>
    <t>{{ typeid_unmarked_tu }}</t>
  </si>
  <si>
    <t>{{ typeid_unmarked_tl_abrv }}</t>
  </si>
  <si>
    <t>{{ typeid_unmarked_tu_abrv }}</t>
  </si>
  <si>
    <t>{{ use_intensity_tl }}</t>
  </si>
  <si>
    <t>{{ use_intensity_tu }}</t>
  </si>
  <si>
    <t>{{ use_probability_tl }}</t>
  </si>
  <si>
    <t>{{ use_probability_tu }}</t>
  </si>
  <si>
    <t>{{ utm_zone_cam_location_tu }}</t>
  </si>
  <si>
    <t>{{ visit_tl }}</t>
  </si>
  <si>
    <t>{{ visit_tu }}</t>
  </si>
  <si>
    <t>{{ visit_comments_tu }}</t>
  </si>
  <si>
    <t>{{ visit_metadata_tl }}</t>
  </si>
  <si>
    <t>{{ visit_metadata_tu }}</t>
  </si>
  <si>
    <t>{{ walktest_tl }}</t>
  </si>
  <si>
    <t>{{ walktest_tu }}</t>
  </si>
  <si>
    <t>{{ walktest_complete_tu }}</t>
  </si>
  <si>
    <t>{{ walktest_height_tu }}</t>
  </si>
  <si>
    <t>^l^l:width:</t>
  </si>
  <si>
    <t>^p^p:width:</t>
  </si>
  <si>
    <t>^l</t>
  </si>
  <si>
    <t xml:space="preserve">^p^p:height: </t>
  </si>
  <si>
    <t xml:space="preserve">^l:height: </t>
  </si>
  <si>
    <t xml:space="preserve">^l^l:height: </t>
  </si>
  <si>
    <t xml:space="preserve">^p^p:align: </t>
  </si>
  <si>
    <t xml:space="preserve">^l:align: </t>
  </si>
  <si>
    <t xml:space="preserve">^l^l:align: </t>
  </si>
  <si>
    <t>^p^p```</t>
  </si>
  <si>
    <t>^l```</t>
  </si>
  <si>
    <t>^l^l```</t>
  </si>
  <si>
    <t>^l:width:</t>
  </si>
  <si>
    <t>^l^l:::</t>
  </si>
  <si>
    <t>^l:::</t>
  </si>
  <si>
    <t>{tab-set}^l^l</t>
  </si>
  <si>
    <t>{tab-set}^l</t>
  </si>
  <si>
    <t>{tab-set}^p^p</t>
  </si>
  <si>
    <t>^p^p:::</t>
  </si>
  <si>
    <t>:::^l:::</t>
  </si>
  <si>
    <t>:::^l^l:::</t>
  </si>
  <si>
    <t>:::{dropdown}^l^l</t>
  </si>
  <si>
    <t>:::{dropdown}^l</t>
  </si>
  <si>
    <t xml:space="preserve">^l:::{figure} </t>
  </si>
  <si>
    <t xml:space="preserve">^l^l:::{figure} </t>
  </si>
  <si>
    <t xml:space="preserve">^l^l^l:::{figure} </t>
  </si>
  <si>
    <t>```^p^l::::::</t>
  </si>
  <si>
    <t>```^l::::::</t>
  </si>
  <si>
    <t>^l:::{dropdown}</t>
  </si>
  <si>
    <t>^l^l:::{dropdown}</t>
  </si>
  <si>
    <t>^p^l:::{dropdown}</t>
  </si>
  <si>
    <t>```^p^p^l::::::</t>
  </si>
  <si>
    <t>```^p^p^l^l::::::</t>
  </si>
  <si>
    <t>^l^l</t>
  </si>
  <si>
    <t>^p</t>
  </si>
  <si>
    <t>xx</t>
  </si>
  <si>
    <t xml:space="preserve">    width=“100%”</t>
  </si>
  <si>
    <t xml:space="preserve">    height=“900”</t>
  </si>
  <si>
    <t xml:space="preserve">    loading=“lazy”</t>
  </si>
  <si>
    <t xml:space="preserve">    frameborder=“0”</t>
  </si>
  <si>
    <t xml:space="preserve">    allow=“accelerometer; autoplay; clipboard-write; encrypted-media; gyroscope; picture-in-picture”</t>
  </si>
  <si>
    <t xml:space="preserve">    allowfullscreen&gt;</t>
  </si>
  <si>
    <t>^l^l^l</t>
  </si>
  <si>
    <t>:::::::{tab-set}^l:</t>
  </si>
  <si>
    <t>:::::::{tab-set}^l^l:</t>
  </si>
  <si>
    <t>}}^l^l:::{figure}</t>
  </si>
  <si>
    <t>}}^l:::{figure}</t>
  </si>
  <si>
    <t>.^l```{figure}</t>
  </si>
  <si>
    <t>.^l^l```{figure}</t>
  </si>
  <si>
    <t xml:space="preserve">^p:align: </t>
  </si>
  <si>
    <t>^p:width:</t>
  </si>
  <si>
    <t xml:space="preserve">^p:height: </t>
  </si>
  <si>
    <t>---^l(</t>
  </si>
  <si>
    <t>---^l^l(</t>
  </si>
  <si>
    <t>---^l^l^l(</t>
  </si>
  <si>
    <t>```^l::::{grid}</t>
  </si>
  <si>
    <t>```^l^l::::{grid}</t>
  </si>
  <si>
    <t>:margin: 2^l:::{grid-item}</t>
  </si>
  <si>
    <t>:margin: 2^l^l:::{grid-item}</t>
  </si>
  <si>
    <t>^l::::{grid}</t>
  </si>
  <si>
    <t>^l^l::::{grid}</t>
  </si>
  <si>
    <t>^l^l^l^l::::{grid}</t>
  </si>
  <si>
    <t>^l^l^l::::{grid}</t>
  </si>
  <si>
    <t>^l:::^l^l::::^l</t>
  </si>
  <si>
    <t>^l:::^l::::^l</t>
  </si>
  <si>
    <t>:columns: 10^l</t>
  </si>
  <si>
    <t>:columns: 10^l^l</t>
  </si>
  <si>
    <t>:columns: 10^l^l^l</t>
  </si>
  <si>
    <t>:columns: 2^l</t>
  </si>
  <si>
    <t>:columns: 2^l^l</t>
  </si>
  <si>
    <t>:columns: 2^l^l^l</t>
  </si>
  <si>
    <t>^l:::::{card}</t>
  </si>
  <si>
    <t>^l^l:::::{card}</t>
  </si>
  <si>
    <t>^l^l^l:::::{card}</t>
  </si>
  <si>
    <t>^l^l:columns:</t>
  </si>
  <si>
    <t>^l:columns:</t>
  </si>
  <si>
    <t>^l^l:gutter:</t>
  </si>
  <si>
    <t>^l:gutter:</t>
  </si>
  <si>
    <t>:gutter: 3^l</t>
  </si>
  <si>
    <t>:gutter: 2^l</t>
  </si>
  <si>
    <t>:gutter: 2^p</t>
  </si>
  <si>
    <t>:gutter: 1^l</t>
  </si>
  <si>
    <t>:gutter: 1^p</t>
  </si>
  <si>
    <t>infobox</t>
  </si>
  <si>
    <t>info-box</t>
  </si>
  <si>
    <t>^l:::::::{tab-set}</t>
  </si>
  <si>
    <t>^p:::::::{tab-set}</t>
  </si>
  <si>
    <t xml:space="preserve">    wrap: none</t>
  </si>
  <si>
    <t>:gutter: 3^l^l</t>
  </si>
  <si>
    <t>^l^l:::::::{tab-set}</t>
  </si>
  <si>
    <t xml:space="preserve">    formats: md:myst</t>
  </si>
  <si>
    <t xml:space="preserve">    display_name: Python 3</t>
  </si>
  <si>
    <t xml:space="preserve">    language: python</t>
  </si>
  <si>
    <t xml:space="preserve">    name: python3</t>
  </si>
  <si>
    <t xml:space="preserve">    markdown: </t>
  </si>
  <si>
    <t xml:space="preserve">        wrap: none</t>
  </si>
  <si>
    <t xml:space="preserve">    text_representation:</t>
  </si>
  <si>
    <t xml:space="preserve">        extension: .md</t>
  </si>
  <si>
    <t xml:space="preserve">        format_name: myst</t>
  </si>
  <si>
    <t xml:space="preserve">        format_version:</t>
  </si>
  <si>
    <t xml:space="preserve">        jupytext_version:</t>
  </si>
  <si>
    <t>^l^l^l^l:::::{grid}</t>
  </si>
  <si>
    <t>^l^l^l:::::{grid}</t>
  </si>
  <si>
    <t>^l^l:::::{grid}</t>
  </si>
  <si>
    <t>^l:::::{grid}</t>
  </si>
  <si>
    <t>^l^l:::::^l^l</t>
  </si>
  <si>
    <t>^l:::::^l^l</t>
  </si>
  <si>
    <t>:gutter: 3^p</t>
  </si>
  <si>
    <t>::::^l```</t>
  </si>
  <si>
    <t>::::^p```</t>
  </si>
  <si>
    <t>markdown:</t>
  </si>
  <si>
    <t xml:space="preserve">  markdown:</t>
  </si>
  <si>
    <t>:margin: 1^l</t>
  </si>
  <si>
    <t>:margin: 1^p</t>
  </si>
  <si>
    <t>:margin: 2^l</t>
  </si>
  <si>
    <t>:margin: 2^p</t>
  </si>
  <si>
    <t>:margin: 3^l</t>
  </si>
  <si>
    <t>:margin: 3^l^l</t>
  </si>
  <si>
    <t>:margin: 3^p</t>
  </si>
  <si>
    <t>:gutter: 0^l</t>
  </si>
  <si>
    <t>:gutter: 0^p</t>
  </si>
  <si>
    <t>:margin: 0^l</t>
  </si>
  <si>
    <t>:margin: 0^p</t>
  </si>
  <si>
    <t>:padding: 0^l</t>
  </si>
  <si>
    <t>:padding: 0^p</t>
  </si>
  <si>
    <t>:padding: 1^l</t>
  </si>
  <si>
    <t>:padding: 1^p</t>
  </si>
  <si>
    <t>:padding: 2^l</t>
  </si>
  <si>
    <t>:padding: 2^p</t>
  </si>
  <si>
    <t>:padding: 3^l</t>
  </si>
  <si>
    <t>:padding: 3^l^l</t>
  </si>
  <si>
    <t>:padding: 3^p</t>
  </si>
  <si>
    <t>:gutter: 1^p:padding: 0^p:margin: 0^p</t>
  </si>
  <si>
    <t>:gutter: 1^l:padding: 0^l:margin: 0^p</t>
  </si>
  <si>
    <t>RangeFind =A2:A74</t>
  </si>
  <si>
    <t>RangeRepl =B2:B74</t>
  </si>
  <si>
    <t>StrFind ="xxx@^p@^l^l^l@^p^p:width:@^l^l:width:@^p:width:@^p^p:height: @^l^l:height: @^p:height: @^p^p:align: @^p:align: @^l^l:align: @^p^p```@^l^l```@^l^l:::@^p^p:::@{tab-set}^l^l@{tab-set}^p^p@:::^l:::@^l^l:::{dropdown}@^p^l:::{dropdown}@:::{dropdown}^l^l@^l:::{figure} @^l^l^l:::{figure} @```^p^l::::::@```^p^p^l^l::::::@```^p^p^l::::::@```^l::::{grid}@^l^l^l@:::::::{tab-set}^l:@}}^l^l:::{figure}@.^l```{figure}@---^l^l(@---^l^l^l(@^l:::::{grid}@^l::::{grid}@^l^l^l^l:::::{grid}@^l^l^l:::::{grid}@^l^l^l^l::::{grid}@^l^l^l::::{grid}@:margin: 2^l:::{grid-item}@^l:::^l^l::::^l@:columns: 10^l@:columns: 10^l^l^l@:columns: 2^l@:columns: 2^l^l^l@^l^l:columns:@^l^l:gutter:@^l:::::{card}@^l^l^l:::::{card}@^l^l@:padding: 0^l@:padding: 1^l@:padding: 2^l@:padding: 3^l@:padding: 3^l^l@:margin: 0^l@:margin: 1^l@:margin: 2^l@:margin: 3^l@:margin: 3^l^l@:gutter: 0^l@:gutter: 1^l@:gutter: 2^l@:gutter: 3^l@:gutter: 3^l^l@:gutter: 1^p:padding: 0^p:margin: 0^p@infobox@^l:::::::{tab-set}@^l:::::::{tab-set}@^l^l:::::^l^l@::::^l```@xxx"</t>
  </si>
  <si>
    <t>StrRepl ="xxx@^l@^l^l@^l:width:@^l:width:@^l:width:@^l:height: @^l:height: @^l:height: @^l:align: @^l:align: @^l:align: @^l```@^l```@^l:::@^l:::@{tab-set}^l@{tab-set}^l@:::^l^l:::@^l:::{dropdown}@^l:::{dropdown}@:::{dropdown}^l@^l^l:::{figure} @^l^l:::{figure} @```^l::::::@```^l::::::@```^l::::::@```^l^l::::{grid}@^l^l@:::::::{tab-set}^l^l:@}}^l:::{figure}@.^l^l```{figure}@---^l(@---^l(@^l^l:::::{grid}@^l^l::::{grid}@^l^l:::::{grid}@^l^l:::::{grid}@^l^l::::{grid}@^l^l::::{grid}@:margin: 2^l^l:::{grid-item}@^l:::^l::::^l@:columns: 10^l^l@:columns: 10^l^l@:columns: 2^l^l@:columns: 2^l^l@^l:columns:@^l:gutter:@^l^l:::::{card}@^l^l:::::{card}@^p@:padding: 0^p@:padding: 1^p@:padding: 2^p@:padding: 3^l^l@:padding: 3^p@:margin: 0^p@:margin: 1^p@:margin: 2^p@:margin: 3^l^l@:margin: 3^p@:gutter: 0^p@:gutter: 1^p@:gutter: 2^p@:gutter: 3^l^l@:gutter: 3^p@:gutter: 1^l:padding: 0^l:margin: 0^p@info-box@^p:::::::{tab-set}@^l^l:::::::{tab-set}@^l:::::^l^l@::::^p```@xxx"</t>
  </si>
  <si>
    <t>&lt;div style=“</t>
  </si>
  <si>
    <t>&lt;iframe src=“</t>
  </si>
  <si>
    <t>style=“position:</t>
  </si>
  <si>
    <t xml:space="preserve">  &lt;div style=“</t>
  </si>
  <si>
    <t xml:space="preserve">    &lt;iframe src=“</t>
  </si>
  <si>
    <t xml:space="preserve">      style=“position:</t>
  </si>
  <si>
    <t>&lt;/iframe&gt;^l&lt;/div&gt;</t>
  </si>
  <si>
    <t>&lt;/iframe&gt;^l  &lt;/div&gt;</t>
  </si>
  <si>
    <t>[occupancy models](#mods_occupancy)</t>
  </si>
  <si>
    <t>[modelling approaches](#mods_modelling_approach)</t>
  </si>
  <si>
    <t>{{ mod_approach_tl_pl }}</t>
  </si>
  <si>
    <t>mods_modelling_assumption</t>
  </si>
  <si>
    <t>mod_</t>
  </si>
  <si>
    <t>mods_modelling_</t>
  </si>
  <si>
    <t>[REM](#mods_rem)</t>
  </si>
  <si>
    <t xml:space="preserve"> </t>
  </si>
  <si>
    <t xml:space="preserve">    src=</t>
  </si>
  <si>
    <t>width=“100%”</t>
  </si>
  <si>
    <t>height=“900”</t>
  </si>
  <si>
    <t>src=</t>
  </si>
  <si>
    <t>loading=“lazy”</t>
  </si>
  <si>
    <t>allow=“accelerometer; autoplay; clipboard-write; encrypted-media; gyroscope; picture-in-picture”</t>
  </si>
  <si>
    <t>allowfullscreen&gt;</t>
  </si>
  <si>
    <t>frameborder=“0”</t>
  </si>
  <si>
    <t xml:space="preserve">        width=“100%”</t>
  </si>
  <si>
    <t xml:space="preserve">        height=“900”</t>
  </si>
  <si>
    <t xml:space="preserve">        src=</t>
  </si>
  <si>
    <t xml:space="preserve">        loading=“lazy”</t>
  </si>
  <si>
    <t xml:space="preserve">        frameborder=“0”</t>
  </si>
  <si>
    <t xml:space="preserve">        allow=“accelerometer; autoplay; clipboard-write; encrypted-media; gyroscope; picture-in-picture”</t>
  </si>
  <si>
    <t xml:space="preserve">        allowfullscreen&gt;</t>
  </si>
  <si>
    <t>&lt;/iframe&gt;^l    &lt;/div&gt;</t>
  </si>
  <si>
    <t xml:space="preserve">            style=“position:</t>
  </si>
  <si>
    <t xml:space="preserve">        &lt;iframe src=“</t>
  </si>
  <si>
    <t xml:space="preserve">    &lt;div style=“</t>
  </si>
  <si>
    <t>resource1_type</t>
  </si>
  <si>
    <t>resource1_name</t>
  </si>
  <si>
    <t>resource1_note</t>
  </si>
  <si>
    <t>resource1_url</t>
  </si>
  <si>
    <t>{{ rbib_resource1_ref_id }}</t>
  </si>
  <si>
    <t>resource2_type</t>
  </si>
  <si>
    <t>resource2_name</t>
  </si>
  <si>
    <t>resource2_note</t>
  </si>
  <si>
    <t>resource2_url</t>
  </si>
  <si>
    <t>{{ rbib_resource2_ref_id }}</t>
  </si>
  <si>
    <t>resource3_type</t>
  </si>
  <si>
    <t>resource3_name</t>
  </si>
  <si>
    <t>resource3_note</t>
  </si>
  <si>
    <t>resource3_url</t>
  </si>
  <si>
    <t>{{ rbib_resource3_ref_id }}</t>
  </si>
  <si>
    <t>resource4_type</t>
  </si>
  <si>
    <t>resource4_name</t>
  </si>
  <si>
    <t>resource4_note</t>
  </si>
  <si>
    <t>resource4_url</t>
  </si>
  <si>
    <t>{{ rbib_resource4_ref_id }}</t>
  </si>
  <si>
    <t>resource5_type</t>
  </si>
  <si>
    <t>resource5_name</t>
  </si>
  <si>
    <t>resource5_note</t>
  </si>
  <si>
    <t>resource5_url</t>
  </si>
  <si>
    <t>{{ rbib_resource5_ref_id }}</t>
  </si>
  <si>
    <t>resource6_type</t>
  </si>
  <si>
    <t>resource6_name</t>
  </si>
  <si>
    <t>resource6_note</t>
  </si>
  <si>
    <t>resource6_url</t>
  </si>
  <si>
    <t>{{ rbib_resource6_ref_id }}</t>
  </si>
  <si>
    <t>resource7_type</t>
  </si>
  <si>
    <t>resource7_name</t>
  </si>
  <si>
    <t>resource7_note</t>
  </si>
  <si>
    <t>resource7_url</t>
  </si>
  <si>
    <t>{{ rbib_resource7_ref_id }}</t>
  </si>
  <si>
    <t>resource8_type</t>
  </si>
  <si>
    <t>resource8_name</t>
  </si>
  <si>
    <t>resource8_note</t>
  </si>
  <si>
    <t>resource8_url</t>
  </si>
  <si>
    <t>{{ rbib_resource8_ref_id}}</t>
  </si>
  <si>
    <t>resource9_type</t>
  </si>
  <si>
    <t>resource9_name</t>
  </si>
  <si>
    <t>resource9_note</t>
  </si>
  <si>
    <t>resource9_url</t>
  </si>
  <si>
    <t>{{ rbib_resource9_ref_id }}</t>
  </si>
  <si>
    <t>resource10_type</t>
  </si>
  <si>
    <t>resource10_name</t>
  </si>
  <si>
    <t>resource10_note</t>
  </si>
  <si>
    <t>resource10_url</t>
  </si>
  <si>
    <t>{{ rbib_resource10_ref_id }}</t>
  </si>
  <si>
    <t>resource11_type</t>
  </si>
  <si>
    <t>resource11_name</t>
  </si>
  <si>
    <t>resource11_note</t>
  </si>
  <si>
    <t>resource11_url</t>
  </si>
  <si>
    <t>{{ rbib_resource11_ref_id }}</t>
  </si>
  <si>
    <t>resource12_type</t>
  </si>
  <si>
    <t>resource12_name</t>
  </si>
  <si>
    <t>resource12_note</t>
  </si>
  <si>
    <t>resource12_url</t>
  </si>
  <si>
    <t>{{ rbib_resource12_ref_id }}</t>
  </si>
  <si>
    <t>resource13_type</t>
  </si>
  <si>
    <t>resource13_name</t>
  </si>
  <si>
    <t>resource13_note</t>
  </si>
  <si>
    <t>resource13_url</t>
  </si>
  <si>
    <t>{{ rbib_resource13_ref_id }}</t>
  </si>
  <si>
    <t>resource14_type</t>
  </si>
  <si>
    <t>resource14_name</t>
  </si>
  <si>
    <t>resource14_note</t>
  </si>
  <si>
    <t>resource14_url</t>
  </si>
  <si>
    <t>{{ rbib_resource14_ref_id }}</t>
  </si>
  <si>
    <t>resource15_type</t>
  </si>
  <si>
    <t>resource15_name</t>
  </si>
  <si>
    <t>resource15_note</t>
  </si>
  <si>
    <t>resource15_url</t>
  </si>
  <si>
    <t>{{ rbib_resource15_ref_id }}</t>
  </si>
  <si>
    <t>resource16_type</t>
  </si>
  <si>
    <t>resource16_name</t>
  </si>
  <si>
    <t>resource16_note</t>
  </si>
  <si>
    <t>resource16_url</t>
  </si>
  <si>
    <t>{{ rbib_resource16_ref_id }}</t>
  </si>
  <si>
    <t>resource17_type</t>
  </si>
  <si>
    <t>resource17_name</t>
  </si>
  <si>
    <t>resource17_note</t>
  </si>
  <si>
    <t>resource17_url</t>
  </si>
  <si>
    <t>{{ rbib_resource17_ref_id }}</t>
  </si>
  <si>
    <t>resource18_type</t>
  </si>
  <si>
    <t>resource18_name</t>
  </si>
  <si>
    <t>resource18_note</t>
  </si>
  <si>
    <t>resource18_url</t>
  </si>
  <si>
    <t>{{ rbib_resource18_ref_id}}</t>
  </si>
  <si>
    <t>resource19_type</t>
  </si>
  <si>
    <t>resource19_name</t>
  </si>
  <si>
    <t>resource19_note</t>
  </si>
  <si>
    <t>resource19_url</t>
  </si>
  <si>
    <t>{{ rbib_resource19_ref_id }}</t>
  </si>
  <si>
    <t>resource20_type</t>
  </si>
  <si>
    <t>resource20_name</t>
  </si>
  <si>
    <t>resource20_note</t>
  </si>
  <si>
    <t>resource20_url</t>
  </si>
  <si>
    <t>{{ rbib_resource20_ref_id }}</t>
  </si>
  <si>
    <t>[REST](#mods_rest)</t>
  </si>
  <si>
    <t xml:space="preserve">|:----------------|:-------------------------------|:----------------------------------------------------------------|:----------------------|:----------------------------------------| </t>
  </si>
  <si>
    <t>{{ rbib_Error! Reference source not found. }}</t>
  </si>
  <si>
    <t>display_name: Python 3</t>
  </si>
  <si>
    <t>[mods_</t>
  </si>
  <si>
    <t>[mod_</t>
  </si>
  <si>
    <t>::::{grid-item-card} {{ rtxt_figure1_ref_id }}</t>
  </si>
  <si>
    <t>:::{figure} ../03_images/03_image_files/figure1_filename.png</t>
  </si>
  <si>
    <t>:class: img_grid</t>
  </si>
  <si>
    <t>:::</t>
  </si>
  <si>
    <t>figure1_caption</t>
  </si>
  <si>
    <t>::::</t>
  </si>
  <si>
    <t>/::::{grid-item-card} {{ rtxt_figure1_ref_id }}</t>
  </si>
  <si>
    <t>/:::{figure} ../03_images/03_image_files/figure1_filename.png</t>
  </si>
  <si>
    <t>/:class: img_grid</t>
  </si>
  <si>
    <t>/:::</t>
  </si>
  <si>
    <t>/figure1_caption</t>
  </si>
  <si>
    <t>/::::</t>
  </si>
  <si>
    <t>^l::::{grid-item-card} {{ rtxt_figure1_ref_id }}^l:::{figure} ../03_images/03_image_files/figure1_filename.png^l:class: img_grid^l:::^lfigure1_caption^l::::^l</t>
  </si>
  <si>
    <t>^p::::{grid-item-card} {{ rtxt_figure1_ref_id }}^l:::{figure} ../03_images/03_image_files/figure1_filename.png^l:class: img_grid^l:::^lfigure1_caption^l::::</t>
  </si>
  <si>
    <t>&lt;div&gt;^l&lt;div style=“position:relative;padding-top:56.25%;”&gt;</t>
  </si>
  <si>
    <t>&lt;div&gt;^l  &lt;div style=“position:relative;padding-top:56.25%;”&gt;</t>
  </si>
  <si>
    <t>&lt;div style=“position:relative;padding-top:56.25%;”&gt;^l&lt;iframe src=“</t>
  </si>
  <si>
    <t>&lt;div style=“position:relative;padding-top:56.25%;”&gt;^l    &lt;iframe src=“</t>
  </si>
  <si>
    <t>loading=“lazy” frameborder=“0” allowfullscreen^lstyle=“position:absolute;top:0;left:0;width:100%;height:100%;”&gt;&lt;/iframe&gt;</t>
  </si>
  <si>
    <t>loading=“lazy” frameborder=“0” allowfullscreen^l      style=“position:absolute;top:0;left:0;width:100%;height:100%;”&gt;&lt;/iframe&gt;</t>
  </si>
  <si>
    <t>style=“position:absolute;top:0;left:0;width:100%;height:100%;”&gt;&lt;/iframe&gt;^l&lt;/div&gt;</t>
  </si>
  <si>
    <t>style=“position:absolute;top:0;left:0;width:100%;height:100%;”&gt;&lt;/iframe&gt;^l  &lt;/div&gt;</t>
  </si>
  <si>
    <t>RangeFind =A2:A429</t>
  </si>
  <si>
    <t>RangeRepl =B2:B429</t>
  </si>
  <si>
    <t>StrFind ="xxx@find@[mods_@mods_modelling_@[**relative abundance indices**](#mod_relative_abundance)@ref_bib_@ref_intext_@[Age Classes](#age_class)@[behaviours](#behaviour)@[Behaviours](#behaviour)@[angle](#camera_angle)@[Angle](#camera_angle)@[Camera Direction](#camera_direction)@[Camera Height](#camera_height)@[camera location](#camera_location)@[camera locations](#camera_location)@[Camera locations](#camera_location)@[Camera Location Characteristics](#camera_location_characteristics)@[make](#camera_make)@[Make](#camera_make)@[model](#camera_model)@[Model](#camera_model)@[Serial Number](#camera_serial_number)@[Deployment End Date Time](#deployment_end_date_time)@[Deployment End Date Time](#deployment_end_date_time)@[Deployment Start Date Time](#deployment_start_date_time)@[Deployment Start Date Time](#deployment_start_date_time)@[detectability](#detection_probability)@[detection probabilities](#detection_probability)@[detection probability](#detection_probability)@[Detection probability](#detection_probability)@[detection rates](#detection_rate)@[Detection rates](#detection_rate)@[false triggers](#false_trigger)@[False triggers](#false_trigger)@[FOV](#field_of_view)@[FOV Target Feature Distance](#fov_target_distance)@[GPS Unit Accuracy](#gps_unit_accuracy)@[Image/Sequence Date Time](#](#img_sequence_date_time)@[Image Set End Date Time](#img_set_end_date_time)@[Image Set Start Date Time](#img_set_start_date_time)@[Image Trigger Modes](#img_trigger_mode)@[approach](#mod_approach)@[Modelling approaches](#mod_approach)@[assumption](#mod_assumption)@[assumptions](#mod_assumption)@[Model assumptions](#mod_assumption)@[catSPIM](#mod_catspim)@[capture-recapture (CR)](#mod_cr_smr)@[CMR](#mod_cr_cmr)@[CR](#mod_cr_cmr)@[n-mixture](#mod_n_mixture)@[N-mixture](#mod_n_mixture)@[Occupancy models (MacKenzie et al., 2002)](#mod_occupancy)@[occupancy models](#mod_occupancy)@[Poisson](#mod_rai_poisson)@[ZINB](#mod_rai_zinb)@[ZIP](#mod_rai_zip)@[REM](#mod_rem)@[REST](#mod_rest)@[SC](#mod_sc)@[SCR](#mod_scr_secr)@[SECR](#mod_scr_secr)@[SMR](#mod_smr)@[Absolute abundance](#obj_abundance)@[projects](#project)@[Projects](#project)@[sample stations](#sample_station)@[Sample stations](#sample_station)@[random design](#sampledesign_random)@[Random design](#sampledesign_random)@[random](#sampledesign_random)@[Random](#sampledesign_random)@[randomly placed](#sampledesign_random) @[SD Card Status](#sd_card_status)@[sequences](#sequence)@[Sequences](#sequence)@[Motion Image Interval](#settings_motion_img_interval)@[Quiet Period ](#settings_quiet_period)@[Video Length](#settings_video_length)@[Sex Classes](#sex_class)@[Stake Distance](#stake_distance)@[state variables](#state_variable)@[State variables](#state_variable)@[study areas](#study_area)@[Study areas](#study_area)@[surveys](#survey)@[Surveys](#survey)@[Survey Designs](#survey_design)@[objective](#survey_objectives)@[Objective](#survey_objectives)@[objectives](#survey_objectives)@[Objectives](#survey_objectives)@[study objectives](#survey_objectives)@[Survey Objective](#survey_objectives) @[tags](#tag)@[Tags](#tag)@[test images](#test_image)@[Test images](#test_image)@[time-lapse images](#timelapse_image)@[Time-lapse images](#timelapse_image)@[triggers](#trigger_event)@[visits](#visit)@[Visits](#visit)@[Walktest Distance](#walktest_distance)@[Walktest Height](#walktest_height)@[Access Method](#access_method)@[Age Class](#age_class)@[Adult](#age_class_adult)@[Juvenile](#age_class_juvenile)@[Subadult](#age_class_subadult)@[Subadult - Yearling](#age_class_subadult_yearling)@[Subadult - Young of Year](#age_class_subadult_youngofyear)@[Analyst](#analyst)@[Animal ID](#animal_id)@[audible lure](#baitlure_audible_lure)@[Audible lure](#baitlure_audible_lure)@[bait](#baitlure_bait)@[Bait](#baitlure_bait)@[Bait/Lure Type](#baitlure_bait_lure_type)@[lure](#baitlure_lure)@[Lure](#baitlure_lure)@[scent lure](#baitlure_scent_lure)@[Scent lure](#baitlure_scent_lure)@[visual lure](#baitlure_visual_lure)@[Visual lure](#baitlure_visual_lure)@[Batteries Replaced](#batteries_replaced)@[Behaviour](#behaviour)@[Camera Active On Arrival](#camera_active_on_arrival)@[Camera Active On Departure](#camera_active_on_departure)@[camera angle](#camera_angle)@[Camera angle](#camera_angle)@[Camera Attachment](#camera_attachment)@[Camera Damaged](#camera_damaged)@[Camera days per camera location](#camera_days_per_camera_location)@[Camera Direction (degrees)](#camera_direction)@[Camera Height (m) ](#camera_height)@[Camera ID](#camera_id)@[New Camera ID](#cam_id_new)@[Camera location](#camera_location)@[Camera Location Characteristic(s)](#camera_location_characteristics)@[Camera Location Comments](#camera_location_comments)@[Camera Location Name](#camera_location_name)@[Camera Make](#camera_make)@[New Camera Make](#camera_make_new)@[Camera Model](#camera_model)@[New Camera Model](#camera_model_new)@[Camera Serial Number](#camera_serial_number)@[New Camera Serial Number](#camera_serial_number_new)@[camera spacing](#camera_spacing)@[Camera spacing](#camera_spacing)@[crew](#crew)@[Crew](#crew)@[cumulative detection probability](#cumulative_det_probability)@[Cumulative detection probability](#cumulative_det_probability)@[density](#density)@[Density](#density)@[deployment](#deployment)@[Deployment](#deployment)@[Deployment Area Photo Numbers](#deployment_area_photo_numbers)@[deployment area photos](#deployment_area_photos)@[Deployment area photos](#deployment_area_photos)@[Deployment Area Photos Taken](#deployment_area_photos_taken)@[Deployment Comments](#deployment_comments)@[Deployment Crew](#deployment_crew)@[Deployment End Date Time (DD-MMM-YYYY HH:MM:SS)](#deployment_end_date_time)@[Deployment Image Count](#deployment_img_count)@[deployment metadata](#deployment_metadata)@[Deployment metadata](#deployment_metadata)@[Deployment Name](#deployment_name)@[Deployment Start Date Time (DD-MMM-YYYY HH:MM:SS)](#deployment_start_date_time)@[deployment visit](#deployment_visit)@[Deployment visit](#deployment_visit)@[detection distance](#detection_distance)@[Detection distance](#detection_distance)@[detection 'event'](#detection_event)@[Detection 'event'](#detection_event)@[detection probability (aka detectability)](#detection_probability)@[Detection probability (aka detectability)](#detection_probability)@[detection rate](#detection_rate)@[Detection rate](#detection_rate)@[detection zone](#detection_zone)@[Detection zone](#detection_zone)@[Easting Camera Location](#easting_camera_location)@[effective detection distance](#effective_detection_distance)@[Effective detection distance](#effective_detection_distance)@[Event Type](#event_type)@[false trigger](#false_trigger)@[False trigger](#false_trigger)@[Field of View (FOV)](#field_of_view)@[registration area](#fov_registration_area)@[Registration area](#fov_registration_area)@[FOV Target Feature](#fov_target)@[FOV Target Feature Distance (m)](#fov_target_distance)@[viewshed](#fov_viewshed)@[Viewshed](#fov_viewshed)@[viewshed density estimators](#fov_viewshed_density_estimators)@[Viewshed density estimators](#fov_viewshed_density_estimators)@[GPS Unit Accuracy (m) ](#gps_unit_accuracy)@[Human Transport Mode/Activity](#human_transport_mode_activity)@[image](#image)@[Image](#image)@[image classification](#img_classification)@[Image classification](#img_classification)@[image classification confidence ](#img_classification_confidence)@[Image classification confidence ](#img_classification_confidence)@[Image Flash Output](#img_flash_output)@[Image Infrared Illuminator](#img_infrared_illuminator)@[Image Name](#img_name)@[image processing](#img_processing)@[Image processing](#img_processing)@[Image Sequence](#img_sequence)@[Image/Sequence Comments](#img_sequence_comments)@[Image/Sequence Date Time (DD-MMM-YYYY HH:MM:SS)](#img_sequence_date_time)@[Image Set End Date Time (DD-MMM-YYYY HH:MM:SS)](#img_set_end_date_time)@[Image Set Start Date Time (DD-MMM-YYYY HH:MM:SS)](#img_set_start_date_time)@[image tagging](#img_tagging)@[Image tagging](#img_tagging)@[Image Trigger Mode](#img_trigger_mode)@[imperfect detection](#imperfect_detection)@[Imperfect detection](#imperfect_detection)@[independent detections](#independent_detections)@[Independent detections](#independent_detections)@Detections are [independent](#independent_detections) @[Individual Count](#individual_count)@[inter-detection interval](#inter_detection_interval)@[Inter-detection interval](#inter_detection_interval)@[kernel density estimator](#kernel_density_estimator)@[Kernel density estimator](#kernel_density_estimator)@[Key ID](#key_id)@[Latitude Camera Location](#latitude_camera_location)@[Longitude Camera Location](#longitude_camera_location)@[metadata](#metadata)@[Metadata](#metadata)@[Spatial partial identity model (2-flank SPIM) (Augustine et al., 2018)](#mod_2flankspim)@[modelling approach](#mod_approach)@[Modelling approach](#mod_approach)@[model assumption](#mod_assumption)@[Model assumption](#mod_assumption)@[Categorical partial identity model (Categorical SPIM; catSPIM) (Augustine et al., 2019; Sun et al., 2022)](#mod_catspim)@[Capture-recapture (CR) / Capture-mark-recapture (CMR) (Karanth, 1995; Karanth &amp; Nichols, 1998)](#mod_cr_cmr)@[alpha richness (α)](#mod_divers_rich_alpha)@[Alpha richness (α)](#mod_divers_rich_alpha)@[beta-diversity (β)](#mod_divers_rich_beta)@[Beta-diversity (β)](#mod_divers_rich_beta)@[species diversity](#mod_divers_rich_divers)@[Species diversity](#mod_divers_rich_divers)@[gamma richness (γ)](#mod_divers_rich_gamma)@[Gamma richness (γ)](#mod_divers_rich_gamma)@[species richness](#mod_divers_rich_rich)@[Species richness](#mod_divers_rich_rich)@[species richness](#mod_divers_rich_rich2)@[Species richness](#mod_divers_rich_rich2)@[Distance sampling (DS) model (Howe et al., 2017)](#mod_ds)@[inventory](#mod_inventory)@[Inventory](#mod_inventory)@[Instantaneous sampling (IS) model (Moeller et al., 2018)](#mod_is)@[Mark-resight (MR) model (Arnason et al., 1991; McClintock et al., 2009)](#mod_mr)@[n-mixture models](#mod_n_mixture)@[N-mixture models](#mod_n_mixture)@[Occupancy model (MacKenzie et al., 2002)](#mod_occupancy)@[overdispersion](#mod_overdispersion)@[Overdispersion](#mod_overdispersion)@[relative abundance indices](#mod_rai)@[Relative abundance indices](#mod_rai)@[Hurdle model (Mullahy, 1986; Heilbron 1994)](#mod_rai_hurdle)@[Negative binomial (NB) regression (Mullahy, 1986)](#mod_rai_nb)@[poisson regression](#mod_rai_poisson)@[Poisson regression](#mod_rai_poisson)@[Zero-inflated negative binomial (ZINB) regression (McCullagh &amp; Nelder, 1989)](#mod_rai_zinb)@[Zero-inflated Poisson (ZIP) regression (Lambert, 1992)](#mod_rai_zip)@[Random encounter model (REM) (Rowcliffe et al., 2008, 2013)](#mod_rem)@[Random encounter and staying time (REST) model (Nakashima et al., 2018)](#mod_rest)@[Royle-Nichols model (Royle &amp; Nichols, 2003; MacKenzie et al., 2006)](#mod_royle_nichols)@[Spatial count (SC) model / Unmarked spatial capture-recapture (Chandler &amp; Royle, 2013)](#mod_sc)@[Spatially explicit capture-recapture (SECR) / Spatial capture-recapture (SCR) (Borchers &amp; Efford, 2008; Efford, 2004; Royle &amp; Young, 2008; Royle et al., 2009)](#mod_scr_secr)@[Spatial mark-resight (SMR) (Chandler &amp; Royle, 2013; Sollmann et al., 2013a, 2013b)](#mod_smr)@[Space-to-event (STE) model (Moeller et al., 2018)](#mod_ste)@[Time in front of the camera (TIFC) (Huggard, 2018; Warbington &amp; Boyce, 2020; tested in Becker et al., 2022)](#mod_tifc)@[Time-to-event (TTE) model (Moeller et al., 2018)](#mod_tte)@[zero-inflation](#mod_zero_inflation)@[Zero-inflation](#mod_zero_inflation)@[Northing Camera Location](#northing_camera_location)@[# Of Images](#number_of_images)@[absolute abundance / population size](#obj_abundance)@[Absolute abundance / Population size](#obj_abundance)@[behaviour](#obj_behaviour)@[Behaviour](#obj_behaviour)@[density](#obj_density)@[Density](#obj_density)@[species diversity &amp; richness](#obj_divers_rich)@[Species diversity &amp; richness](#obj_divers_rich)@[species inventory](#obj_inventory)@[Species inventory](#obj_inventory)@[occupancy](#obj_occupancy)@[Occupancy](#obj_occupancy)@[relative abundance](#obj_rel_abund)@[Relative abundance](#obj_rel_abund)@[vital rate](#obj_vital_rate)@[Vital rate](#obj_vital_rate)@[occupancy](#occupancy)@[Occupancy](#occupancy)@[project](#project)@[Project](#project)@[Project Coordinator](#project_coordinator)@[Project Coordinator Email](#project_coordinator_email)@[Project Description](#project_description)@[Project Name](#project_name)@[pseudoreplication](#pseudoreplication)@[Pseudoreplication](#pseudoreplication)@[Purpose of Visit](#purpose_of_visit)@[recovery time](#recovery_time)@[Recovery time](#recovery_time)@[Remaining Battery (%)](#remaining_battery_percent)@[sample station](#sample_station)@[Sample station](#sample_station)@[Sample Station Name](#sample_station_name)@[clustered design](#sampledesign_clustered)@[Clustered design](#sampledesign_clustered)@[convenience design](#sampledesign_convenience)@[Convenience design](#sampledesign_convenience)@[paired design](#sampledesign_paired)@[Paired design](#sampledesign_paired)@[random (or 'simple random') design](#sampledesign_random)@[Random (or 'simple random') design](#sampledesign_random)@[stratified design](#sampledesign_stratified)@[Stratified design](#sampledesign_stratified)@[stratified random design ](#sampledesign_stratified_random)@[Stratified random design ](#sampledesign_stratified_random)@[systematic design](#sampledesign_systematic)@[Systematic design](#sampledesign_systematic)@[systematic random design](#sampledesign_systematic_random)@[Systematic random design](#sampledesign_systematic_random)@[targeted design](#sampledesign_targeted)@[Targeted design](#sampledesign_targeted)@[SD Card ID](#sd_card_id)@[SD Card Replaced](#sd_card_replaced)@[SD Card Status (% Full)](#sd_card_status)@[New SD Card ID](#sd_id_new)@[Security](#security)@[sequence](#sequence)@[Sequence](#sequence)@[Sequence Name](#sequence_name)@[service/retrieval](#service_retrieval)@[Service/Retrieval](#service_retrieval)@[Service/Retrieval Comments](#service_retrieval_comments)@[Service/Retrieval Crew](#service_retrieval_crew)@[service/retrieval metadata](#service_retrieval_metadata)@[Service/Retrieval metadata](#service_retrieval_metadata)@[service/retrieval visit](#service_retrieval_visit)@[Service/Retrieval visit](#service_retrieval_visit)@[flash output](#settings_flash_output)@[Flash output](#settings_flash_output)@[infrared illuminator](#settings_infrared_illum)@[Infrared illuminator](#settings_infrared_illum)@[Motion Image Interval (seconds)](#settings_motion_img_interval)@[Photos Per Trigger](#settings_photos_per_trigger)@[Quiet Period (seconds)](#settings_quiet_period)@[Trigger Mode(s)  (camera settings)](#settings_trigger_modes)@[Trigger Sensitivity](#settings_trigger_sensitivity)@[user label](#settings_userlabel)@[User label](#settings_userlabel)@[Video Length (seconds)](#settings_video_length)@[Sex Class](#sex_class)@[spatial autocorrelation](#spatial_autocorrelation)@[Spatial autocorrelation](#spatial_autocorrelation)@[Species](#species)@[Stake Distance (m)](#stake_distance)@[state variable](#state_variable)@[State variable](#state_variable)@[strata](#strata)@[Strata](#strata)@[study area](#study_area)@[Study area](#study_area)@[Study Area Description](#study_area_description)@[Study Area Name](#study_area_name)@[survey](#survey)@[Survey](#survey)@[Survey Design](#survey_design)@[Survey Design Description](#survey_design_description)@[Survey Name](#survey_name)@[Survey Objectives](#survey_objectives)@[tag](#tag)@[Tag](#tag)@[Target Species](#target_species)@[test image](#test_image)@[Test image](#test_image)@[Test Image Taken](#test_img_taken)@[time-lapse image](#timelapse_image)@[Time-lapse image](#timelapse_image)@[total number of camera days](#total_number_of_camera_days)@[Total number of camera days](#total_number_of_camera_days)@[trigger 'event'](#trigger_event)@[Trigger 'event'](#trigger_event)@[trigger speed](#trigger_speed)@[Trigger speed](#trigger_speed)@[marked individuals / populations / species](#typeid_marked)@[Marked individuals / populations / species](#typeid_marked)@[marked](#typeid_marked)@[Marked](#typeid_marked)@[partially marked individuals / populations / species](#typeid_partially_marked)@[Partially marked individuals / populations / species](#typeid_partially_marked)@[partially marked](#typeid_partially_marked)@[Partially marked](#typeid_partially_marked)@[unmarked individuals / populations / species](#typeid_unmarked)@[Unmarked individuals / populations / species](#typeid_unmarked)@[unmarked](#typeid_unmarked)@[Unmarked](#typeid_unmarked)@[intensity of use](#use_intensity)@[Intensity of use](#use_intensity)@[intensity of use (Keim et al., 2019)](#intensity_of_use)@[Intensity of use (Keim et al., 2019)](#intensity_of_use)@[probability of use](#use_probability)@[Probability of use](#use_probability)@[UTM Zone Camera Location](#utm_zone_camera_location)@[visit](#visit)@[Visit](#visit)@[Visit Comments](#visit_comments)@[visit metadata](#visit_metadata)@[Visit metadata](#visit_metadata)@[walktest](#walktest)@[Walktest](#walktest)@[Walktest Complete](#walktest_complete)@[Walktest Distance (m) ](#walktest_distance)@[Walktest Distance (m)](#walktest_distance)@[Walktest Height (m)](#walktest_height)@Access Method@xxx"</t>
  </si>
  <si>
    <t>StrRepl ="xxx@replace@[mod_@mod_@**{{ mod_rai_tl_pl }}**@rbib_@rtxt_@{{ age_class_tu_pl }}@{{ behaviour_tl_pl }}@{{ behaviour_tu_pl }}@{{ cam_angle_tl_abrv }}@{{ cam_angle_tu_abrv }}@{{ cam_direction_tu_nu }}@{{ cam_height_tu_nu }}@{{ cam_location_tl }}@{{ cam_location_tl_pl }}@{{ cam_location_tu_pl }}@{{ cam_location_characteristics_tu_mod }}@{{ cam_make_tl_abrv }}@{{ cam_make_tu_abrv }}@{{ cam_model_tl_abrv }}@{{ cam_model_tu_abrv }}@{{ cam_serial_number_tu_abrv }}@{{ deployment_end_date_time_tu_nu }}@{{ deployment_end_date_time_tu_nu }}@{{ deployment_start_date_time_tu_nu }}@{{ deployment_start_date_time_tu_nu }}@{{ detection_probability_tl_abrv2 }}@{{ detection_probability_tl_pl }}@{{ detection_probability_tl_abrv }}@{{ detection_probability_tu_abrv }}@{{ detection_rate_tl_pl }}@{{ detection_rate_tu_pl }}@{{ false_trigger_tl_pl }}@{{ false_trigger_tu_pl }}@{{ field_of_view_tu_abrv }}@{{ fov_target_distance_tu_nu }}@{{ gps_unit_accuracy_tu_nu }}@{{ img_sequence_date_time_tu_nu }}@{{ img_set_end_date_time_tu_nu }}@{{ img_set_start_date_time_tu_nu }}@{{ img_trigger_mode_tu_pl }}@{{ mod_approach_tl_abrv }}@{{ mod_approach_tu_pl }}@{{ mod_assumption_tl_abrv }}@{{ mod_assumption_tl_abrv_pl }}@{{ mod_assumption_tu_pl }}@{{ mod_catspim_tu_abrv }}@{{ mod_cmr_tu_abrv_txt }}@{{ mod_cmr_tu_abrv }}@{{ mod_cr_tu_abrv }}@{{ mod_n_mixture_tl_abrv }}@{{ mod_n_mixture_tu_abrv }}@{{ mod_occupancy_tu_pl }}@{{ mod_occupancy_tl_abrv_pl }}@{{ mod_rai_poisson_tu_abrv }}@{{ mod_rai_zinb_tu_abrv }}@{{ mod_rai_zip_tu_abrv }}@{{ mod_rem_tu_abrv }}@{{ mod_rest_tu_abrv }}@{{ mod_sc_tu_abrv }}@{{ mod_scr_secr_tu_abrv }}@{{ mod_scr_secr_tu_abrv }}@{{ mod_smr_tu_abrv }}@{{ obj_abundance_tu_abrv }}@{{ project_tl_pl }}@{{ project_tu_pl }}@{{ sample_station_tl_pl }}@{{ sample_station_tu_pl }}@{{ sampledesign_random_tl_nu }}@{{ sampledesign_random_tu_nu }}@{{ sampledesign_random_tl_abrv }}@{{ sampledesign_random_tu_abrv }}@{{ sampledesign_random_tl_mod }}@{{ sd_card_status_tu_nu }}@{{ sequence_tl_pl }}@{{ sequence_tu_pl }}@{{ settings_motion_img_interval_tu_nu }}@{{ settings_quiet_period_tu_nu }}@{{ settings_video_length_tu_nu }}@{{ sex_class_tu_pl }}@{{ stake_distance_tu_nu }}@{{ state_variable_tl_pl }}@{{ state_variable_tu_pl }}@{{ study_area_tl_pl }}@{{ study_area_tu_pl }}@{{ survey_tl_pl }}@{{ survey_tu_pl }}@{{ survey_design_tu_pl }}@{{ survey_objectives_tl_abrv }}@{{ survey_objectives_tu_abrv }}@{{ survey_objectives_tl_abrv_pl }}@{{ survey_objectives_tu_abrv_pl }}@{{ survey_objectives_tl_mod }}@{{ survey_objectives_tu }}@{{ tag_tl_pl }}@{{ tag_tu_pl }}@{{ test_image_tl_pl }}@{{ test_image_tu_pl }}@{{ timelapse_image_tl_pl }}@{{ timelapse_image_tu_pl }}@{{ trigger_event_tl_abrv }}@{{ visit_tl_pl }}@{{ visit_tu_pl }}@{{ walktest_distance_tu_nu }}@{{ walktest_height_tu_nu }}@{{ access_method_tu }}@{{ age_class_tu }}@{{ age_class_adult_tu }}@{{ age_class_juvenile_tu }}@{{ age_class_subadult_tu }}@{{ age_class_subadult_yearling_tu }}@{{ age_class_subadult_youngofyear_tu }}@{{ analyst_tu }}@{{ animal_id_tu }}@{{ baitlure_audible_lure_tl }}@{{ baitlure_audible_lure_tu }}@{{ baitlure_bait_tl }}@{{ baitlure_bait_tu }}@{{ baitlure_bait_lure_type_tu }}@{{ baitlure_lure_tl }}@{{ baitlure_lure_tu }}@{{ baitlure_scent_lure_tl }}@{{ baitlure_scent_lure_tu }}@{{ baitlure_visual_lure_tl }}@{{ baitlure_visual_lure_tu }}@{{ batteries_replaced_tu }}@{{ behaviour_tu }}@{{ cam_active_on_arrival_tu }}@{{ cam_active_on_departure_tu }}@{{ cam_angle_tl }}@{{ cam_angle_tu }}@{{ cam_attachment_tu }}@{{ cam_damaged_tu }}@{{ cam_days_per_cam_location_tu }}@{{ cam_direction_tu }}@{{ cam_height_tu }}@{{ cam_id_tu }}@{{ cam_id_new_tu }}@{{ cam_location_tu }}@{{ cam_location_characteristics_tu }}@{{ cam_location_comments_tu }}@{{ cam_location_name_tu }}@{{ cam_make_tu }}@{{ cam_make_new_tu }}@{{ cam_model_tu }}@{{ cam_model_new_tu }}@{{ cam_serial_number_tu }}@{{ cam_serial_number_new_tu }}@{{ cam_spacing_tl }}@{{ cam_spacing_tu }}@{{ crew_tl }}@{{ crew_tu }}@{{ cumulative_det_probability_tl }}@{{ cumulative_det_probability_tu }}@{{ density_tl }}@{{ density_tu }}@{{ deployment_tl }}@{{ deployment_tu }}@{{ deployment_area_photo_numbers_tu }}@{{ deployment_area_photos_tl }}@{{ deployment_area_photos_tu }}@{{ deployment_area_photos_taken_tu }}@{{ deployment_comments_tu }}@{{ deployment_crew_tu }}@{{ deployment_end_date_time_tu }}@{{ deployment_img_count_tu }}@{{ deployment_metadata_tl }}@{{ deployment_metadata_tu }}@{{ deployment_name_tu }}@{{ deployment_start_date_time_tu }}@{{ deployment_visit_tl }}@{{ deployment_visit_tu }}@{{ detection_distance_tl }}@{{ detection_distance_tu }}@{{ detection_event_tl }}@{{ detection_event_tu }}@{{ detection_probability_tl_aka }}@{{ detection_probability_tu_aka }}@{{ detection_rate_tl }}@{{ detection_rate_tu }}@{{ detection_zone_tl }}@{{ detection_zone_tu }}@{{ easting_cam_location_tu }}@{{ effective_detection_distance_tl }}@{{ effective_detection_distance_tu }}@{{ event_type_tu }}@{{ false_trigger_tl }}@{{ false_trigger_tu }}@{{ field_of_view_tu }}@{{ fov_registration_area_tl }}@{{ fov_registration_area_tu }}@{{ fov_target_tu }}@{{ fov_target_distance_tu }}@{{ fov_viewshed_tl }}@{{ fov_viewshed_tu }}@{{ fov_viewshed_density_estimators_tl }}@{{ fov_viewshed_density_estimators_tu }}@{{ gps_unit_accuracy_tu }}@{{ human_transport_mode_activity_tu }}@{{ image_tl }}@{{ image_tu }}@{{ img_classification_tl }}@{{ img_classification_tu }}@{{ img_classification_confidence_tl }}@{{ img_classification_confidence_tu }}@{{ img_flash_output_tu }}@{{ img_infrared_illuminator_tu }}@{{ img_name_tu }}@{{ img_processing_tl }}@{{ img_processing_tu }}@{{ img_sequence_tu }}@{{ img_sequence_comments_tu }}@{{ img_sequence_date_time_tu }}@{{ img_set_end_date_time_tu }}@{{ img_set_start_date_time_tu }}@{{ img_tagging_tl }}@{{ img_tagging_tu }}@{{ img_trigger_mode_tu }}@{{ imperfect_detection_tl }}@{{ imperfect_detection_tu }}@{{ independent_detections_tl }}@{{ independent_detections_tu }}@{{ independent_detections_tu_modtxt }}@{{ individual_count_tu }}@{{ inter_detection_interval_tl }}@{{ inter_detection_interval_tu }}@{{ kernel_density_estimator_tl }}@{{ kernel_density_estimator_tu }}@{{ key_id_tu }}@{{ latitude_cam_location_tu }}@{{ longitude_cam_location_tu }}@{{ metadata_tl }}@{{ metadata_tu }}@{{ mod_2flankspim_tu }}@{{ mod_approach_tl }}@{{ mod_approach_tu }}@{{ mod_assumption_tl }}@{{ mod_assumption_tu }}@{{ mod_catspim_tu }}@{{ mod_cr_cmr_tu }}@{{ mod_divers_rich_alpha_tl }}@{{ mod_divers_rich_alpha_tu }}@{{ mod_divers_rich_beta_tl }}@{{ mod_divers_rich_beta_tu }}@{{ mod_divers_rich_divers_tl }}@{{ mod_divers_rich_divers_tu }}@{{ mod_divers_rich_gamma_tl }}@{{ mod_divers_rich_gamma_tu }}@{{ mod_divers_rich_rich_tl }}@{{ mod_divers_rich_rich_tu }}@{{ mod_divers_rich_rich2_tl }}@{{ mod_divers_rich_rich2_tu }}@{{ mod_ds_tu }}@{{ mod_inventory_tl }}@{{ mod_inventory_tu }}@{{ mod_is_tu }}@{{ mod_mr_tu }}@{{ mod_n_mixture_tl }}@{{ mod_n_mixture_tu }}@{{ mod_occupancy_tu }}@{{ mod_overdispersion_tl }}@{{ mod_overdispersion_tu }}@{{ mod_rai_tl }}@{{ mod_rai_tu }}@{{ mod_rai_hurdle_tu }}@{{ mod_rai_nb_tu }}@{{ mod_rai_poisson_tl }}@{{ mod_rai_poisson_tu }}@{{ mod_rai_zinb_tu }}@{{ mod_rai_zip_tu }}@{{ mod_rem_tu }}@{{ mod_rest_tu }}@{{ mod_royle_nichols_tu }}@{{ mod_sc_tu }}@{{ mod_scr_secr_tu }}@{{ mod_smr_tu }}@{{ mod_ste_tu }}@{{ mod_tifc_tu }}@{{ mod_tte_tu }}@{{ mod_zero_inflation_tl }}@{{ mod_zero_inflation_tu }}@{{ northing_cam_location_tu }}@{{ number_of_images_tu }}@{{ obj_abundance_tl }}@{{ obj_abundance_tu }}@{{ obj_behaviour_tl }}@{{ obj_behaviour_tu }}@{{ obj_density_tl }}@{{ obj_density_tu }}@{{ obj_divers_rich_tl }}@{{ obj_divers_rich_tu }}@{{ obj_inventory_tl }}@{{ obj_inventory_tu }}@{{ obj_occupancy_tl }}@{{ obj_occupancy_tu }}@{{ obj_rel_abund_tl }}@{{ obj_rel_abund_tu }}@{{ obj_vital_rate_tl }}@{{ obj_vital_rate_tu }}@{{ occupancy_tl }}@{{ occupancy_tu }}@{{ project_tl }}@{{ project_tu }}@{{ project_coordinator_tu }}@{{ project_coordinator_email_tu }}@{{ project_description_tu }}@{{ project_name_tu }}@{{ pseudoreplication_tl }}@{{ pseudoreplication_tu }}@{{ purpose_of_visit_tu }}@{{ recovery_time_tl }}@{{ recovery_time_tu }}@{{ remaining_battery_percent_tu }}@{{ sample_station_tl }}@{{ sample_station_tu }}@{{ sample_station_name_tu }}@{{ sampledesign_clustered_tl }}@{{ sampledesign_clustered_tu }}@{{ sampledesign_convenience_tl }}@{{ sampledesign_convenience_tu }}@{{ sampledesign_paired_tl }}@{{ sampledesign_paired_tu }}@{{ sampledesign_random_tl }}@{{ sampledesign_random_tu }}@{{ sampledesign_stratified_tl }}@{{ sampledesign_stratified_tu }}@{{ sampledesign_stratified_random_tl }}@{{ sampledesign_stratified_random_tu }}@{{ sampledesign_systematic_tl }}@{{ sampledesign_systematic_tu }}@{{ sampledesign_systematic_random_tl }}@{{ sampledesign_systematic_random_tu }}@{{ sampledesign_targeted_tl }}@{{ sampledesign_targeted_tu }}@{{ sd_card_id_tu }}@{{ sd_card_replaced_tu }}@{{ sd_card_status_tu }}@{{ sd_id_new_tu }}@{{ security_tu }}@{{ sequence_tl }}@{{ sequence_tu }}@{{ sequence_name_tu }}@{{ service_retrieval_tl }}@{{ service_retrieval_tu }}@{{ service_retrieval_comments_tu }}@{{ service_retrieval_crew_tu }}@{{ service_retrieval_metadata_tl }}@{{ service_retrieval_metadata_tu }}@{{ service_retrieval_visit_tl }}@{{ service_retrieval_visit_tu }}@{{ settings_flash_output_tl }}@{{ settings_flash_output_tu }}@{{ settings_infrared_illum_tl }}@{{ settings_infrared_illum_tu }}@{{ settings_motion_img_interval_tu }}@{{ settings_photos_per_trigger_tu }}@{{ settings_quiet_period_tu }}@{{ settings_trigger_modes_tu }}@{{ settings_trigger_sensitivity_tu }}@{{ settings_userlabel_tl }}@{{ settings_userlabel_tu }}@{{ settings_video_length_tu }}@{{ sex_class_tu }}@{{ spatial_autocorrelation_tl }}@{{ spatial_autocorrelation_tu }}@{{ species_tu }}@{{ stake_distance_tu }}@{{ state_variable_tl }}@{{ state_variable_tu }}@{{ strata_tl }}@{{ strata_tu }}@{{ study_area_tl }}@{{ study_area_tu }}@{{ study_area_description_tu }}@{{ study_area_name_tu }}@{{ survey_tl }}@{{ survey_tu }}@{{ survey_design_tu }}@{{ survey_design_description_tu }}@{{ survey_name_tu }}@{{ survey_objectives_tu_pl }}@{{ tag_tl }}@{{ tag_tu }}@{{ target_species_tu }}@{{ test_image_tl }}@{{ test_image_tu }}@{{ test_image_taken_tu }}@{{ timelapse_image_tl }}@{{ timelapse_image_tu }}@{{ total_number_of_cam_days_tl }}@{{ total_number_of_cam_days_tu }}@{{ trigger_event_tl }}@{{ trigger_event_tu }}@{{ trigger_speed_tl }}@{{ trigger_speed_tu }}@{{ typeid_marked_tl }}@{{ typeid_marked_tu }}@{{ typeid_marked_tl_abrv }}@{{ typeid_marked_tu_abrv }}@{{ typeid_partially_marked_tl }}@{{ typeid_partially_marked_tu }}@{{ typeid_partially_marked_tl_abrv }}@{{ typeid_partially_marked_tu_abrv }}@{{ typeid_unmarked_tl }}@{{ typeid_unmarked_tu }}@{{ typeid_unmarked_tl_abrv }}@{{ typeid_unmarked_tu_abrv }}@{{ use_intensity_tl }}@{{ use_intensity_tu }}@{{ use_intensity_tl }}@{{ use_intensity_tu }}@{{ use_probability_tl }}@{{ use_probability_tu }}@{{ utm_zone_cam_location_tu }}@{{ visit_tl }}@{{ visit_tu }}@{{ visit_comments_tu }}@{{ visit_metadata_tl }}@{{ visit_metadata_tu }}@{{ walktest_tl }}@{{ walktest_tu }}@{{ walktest_complete_tu }}@{{ walktest_distance_tu }}@{{ walktest_distance_tu }}@{{ walktest_height_tu }}@{{ access_method_tu }}@xxx"</t>
  </si>
  <si>
    <t xml:space="preserve"> }}^l{{ rbib_</t>
  </si>
  <si>
    <t xml:space="preserve"> }}^l^l{{ rbib_</t>
  </si>
  <si>
    <t>RangeFind =A2:A31</t>
  </si>
  <si>
    <t>RangeRepl =B2:B31</t>
  </si>
  <si>
    <t>StrFind ="xxx@formats: md:myst@text_representation:@extension: .md@format_name: myst@format_version:@jupytext_version:@display_name: Python 3@language: python@name: python3@markdown:@wrap: none@    formats: md:myst@    text_representation:@        extension: .md@        format_name: myst@        format_version:@        jupytext_version:@    display_name: Python 3@    language: python@    name: python3@    markdown: @        wrap: none@&lt;div&gt;^l&lt;div style=“position:relative;padding-top:56.25%;”&gt;@&lt;div style=“position:relative;padding-top:56.25%;”&gt;^l&lt;iframe src=“@loading=“lazy” frameborder=“0” allowfullscreen^lstyle=“position:absolute;top:0;left:0;width:100%;height:100%;”&gt;&lt;/iframe&gt;@style=“position:absolute;top:0;left:0;width:100%;height:100%;”&gt;&lt;/iframe&gt;^l&lt;/div&gt;@^p::::{grid-item-card} {{ rtxt_figure1_ref_id }}^l:::{figure} ../03_images/03_image_files/figure1_filename.png^l:class: img_grid^l:::^lfigure1_caption^l::::@ }}^l{{ rbib_@xxx"</t>
  </si>
  <si>
    <t>StrRepl ="xxx@  formats: md:myst@  text_representation:@    extension: .md@    format_name: myst@    format_version:@    jupytext_version:@  display_name: Python 3@  language: python@  name: python3@  markdown:@    wrap: none@  formats: md:myst@  text_representation:@    extension: .md@    format_name: myst@    format_version:@    jupytext_version:@  display_name: Python 3@  language: python@  name: python3@  markdown: @    wrap: none@&lt;div&gt;^l  &lt;div style=“position:relative;padding-top:56.25%;”&gt;@&lt;div style=“position:relative;padding-top:56.25%;”&gt;^l    &lt;iframe src=“@loading=“lazy” frameborder=“0” allowfullscreen^l      style=“position:absolute;top:0;left:0;width:100%;height:100%;”&gt;&lt;/iframe&gt;@style=“position:absolute;top:0;left:0;width:100%;height:100%;”&gt;&lt;/iframe&gt;^l  &lt;/div&gt;@^l@ }}^l^l{{ rbib_@xxx"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</si>
</sst>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Arial"/>
      <family val="2"/>
    </font>
    <font>
      <sz val="10"/>
      <color rgb="FF0C0D0E"/>
      <name val="Var(--ff-mono)"/>
    </font>
    <font>
      <sz val="10"/>
      <color rgb="FFFF0000"/>
      <name val="Var(--ff-mono)"/>
    </font>
    <font>
      <sz val="10"/>
      <color rgb="FF000000"/>
      <name val="Arial"/>
      <family val="2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DBDBD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0" borderId="0" xfId="0" applyFont="1"/>
    <xf numFmtId="0" fontId="4" fillId="2" borderId="0" xfId="0" applyFont="1" applyFill="1" applyAlignment="1">
      <alignment vertic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vertical="top"/>
    </xf>
    <xf numFmtId="0" fontId="0" fillId="0" borderId="0" xfId="0" applyAlignment="1">
      <alignment vertical="top"/>
    </xf>
    <xf numFmtId="0" fontId="6" fillId="0" borderId="0" xfId="0" applyFont="1"/>
    <xf numFmtId="0" fontId="0" fillId="0" borderId="0" xfId="0" applyAlignment="1">
      <alignment wrapText="1"/>
    </xf>
    <xf numFmtId="0" fontId="6" fillId="0" borderId="0" xfId="0" applyFont="1" applyAlignment="1">
      <alignment vertical="center"/>
    </xf>
    <xf numFmtId="49" fontId="10" fillId="0" borderId="0" xfId="0" applyNumberFormat="1" applyFont="1"/>
    <xf numFmtId="49" fontId="0" fillId="0" borderId="0" xfId="0" applyNumberFormat="1"/>
    <xf numFmtId="49" fontId="6" fillId="0" borderId="0" xfId="0" applyNumberFormat="1" applyFont="1"/>
    <xf numFmtId="49" fontId="0" fillId="0" borderId="0" xfId="0" applyNumberFormat="1" applyAlignment="1">
      <alignment wrapText="1"/>
    </xf>
    <xf numFmtId="0" fontId="12" fillId="0" borderId="0" xfId="0" applyFont="1"/>
  </cellXfs>
  <cellStyles count="1">
    <cellStyle name="Normal" xfId="0" builtinId="0"/>
  </cellStyles>
  <dxfs count="22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assie Stevenson" id="{1A96591F-BB88-46B4-BEAD-00A0DA11ADC6}" userId="572f43d2310d03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4-10-26T21:25:28.19" personId="{1A96591F-BB88-46B4-BEAD-00A0DA11ADC6}" id="{CED885A4-5353-4C5C-A838-DFF703A961E1}">
    <text>=XLOOKUP(TRUE, EXACT(F2, Sheet1!$E:$E), Sheet1!$F:$F, "not found")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74EB2-D080-42B2-821E-786B58B52901}">
  <sheetPr codeName="Sheet13"/>
  <dimension ref="A1:E429"/>
  <sheetViews>
    <sheetView zoomScale="88" zoomScaleNormal="88" workbookViewId="0">
      <selection activeCell="C14" sqref="C14"/>
    </sheetView>
  </sheetViews>
  <sheetFormatPr defaultRowHeight="14.25"/>
  <cols>
    <col min="1" max="1" width="38.375" customWidth="1"/>
    <col min="2" max="2" width="33.5" customWidth="1"/>
    <col min="3" max="3" width="12.125" customWidth="1"/>
    <col min="4" max="4" width="18.375" customWidth="1"/>
  </cols>
  <sheetData>
    <row r="1" spans="1:5" ht="15">
      <c r="A1" s="11" t="s">
        <v>330</v>
      </c>
      <c r="B1" s="11" t="s">
        <v>282</v>
      </c>
      <c r="C1" s="11"/>
      <c r="D1">
        <f>COUNTA(A:A)</f>
        <v>429</v>
      </c>
    </row>
    <row r="2" spans="1:5" ht="15">
      <c r="A2" s="11" t="s">
        <v>491</v>
      </c>
      <c r="B2" s="11" t="s">
        <v>491</v>
      </c>
      <c r="C2" s="11"/>
    </row>
    <row r="3" spans="1:5">
      <c r="A3" s="15" t="s">
        <v>330</v>
      </c>
      <c r="B3" s="12" t="s">
        <v>282</v>
      </c>
      <c r="C3" s="2"/>
      <c r="D3" t="s">
        <v>1231</v>
      </c>
      <c r="E3" t="s">
        <v>1233</v>
      </c>
    </row>
    <row r="4" spans="1:5">
      <c r="A4" t="s">
        <v>1207</v>
      </c>
      <c r="B4" t="s">
        <v>1208</v>
      </c>
      <c r="D4" t="s">
        <v>1232</v>
      </c>
      <c r="E4" t="s">
        <v>1234</v>
      </c>
    </row>
    <row r="5" spans="1:5">
      <c r="A5" t="s">
        <v>1081</v>
      </c>
      <c r="B5" t="s">
        <v>1080</v>
      </c>
    </row>
    <row r="6" spans="1:5">
      <c r="A6" t="s">
        <v>474</v>
      </c>
      <c r="B6" t="s">
        <v>524</v>
      </c>
    </row>
    <row r="7" spans="1:5">
      <c r="A7" t="s">
        <v>353</v>
      </c>
      <c r="B7" t="s">
        <v>354</v>
      </c>
    </row>
    <row r="8" spans="1:5">
      <c r="A8" t="s">
        <v>351</v>
      </c>
      <c r="B8" t="s">
        <v>352</v>
      </c>
    </row>
    <row r="9" spans="1:5">
      <c r="A9" t="s">
        <v>406</v>
      </c>
      <c r="B9" t="s">
        <v>525</v>
      </c>
    </row>
    <row r="10" spans="1:5">
      <c r="A10" t="s">
        <v>409</v>
      </c>
      <c r="B10" t="s">
        <v>526</v>
      </c>
    </row>
    <row r="11" spans="1:5">
      <c r="A11" t="s">
        <v>391</v>
      </c>
      <c r="B11" t="s">
        <v>527</v>
      </c>
    </row>
    <row r="12" spans="1:5">
      <c r="A12" t="s">
        <v>333</v>
      </c>
      <c r="B12" t="s">
        <v>528</v>
      </c>
    </row>
    <row r="13" spans="1:5">
      <c r="A13" t="s">
        <v>362</v>
      </c>
      <c r="B13" t="s">
        <v>529</v>
      </c>
    </row>
    <row r="14" spans="1:5">
      <c r="A14" t="s">
        <v>335</v>
      </c>
      <c r="B14" t="s">
        <v>530</v>
      </c>
      <c r="D14" s="15"/>
      <c r="E14" s="12"/>
    </row>
    <row r="15" spans="1:5">
      <c r="A15" t="s">
        <v>334</v>
      </c>
      <c r="B15" t="s">
        <v>531</v>
      </c>
    </row>
    <row r="16" spans="1:5">
      <c r="A16" t="s">
        <v>496</v>
      </c>
      <c r="B16" t="s">
        <v>499</v>
      </c>
    </row>
    <row r="17" spans="1:2">
      <c r="A17" t="s">
        <v>410</v>
      </c>
      <c r="B17" t="s">
        <v>532</v>
      </c>
    </row>
    <row r="18" spans="1:2">
      <c r="A18" t="s">
        <v>392</v>
      </c>
      <c r="B18" t="s">
        <v>533</v>
      </c>
    </row>
    <row r="19" spans="1:2">
      <c r="A19" t="s">
        <v>381</v>
      </c>
      <c r="B19" t="s">
        <v>534</v>
      </c>
    </row>
    <row r="20" spans="1:2">
      <c r="A20" t="s">
        <v>358</v>
      </c>
      <c r="B20" t="s">
        <v>535</v>
      </c>
    </row>
    <row r="21" spans="1:2">
      <c r="A21" t="s">
        <v>364</v>
      </c>
      <c r="B21" t="s">
        <v>536</v>
      </c>
    </row>
    <row r="22" spans="1:2">
      <c r="A22" t="s">
        <v>359</v>
      </c>
      <c r="B22" t="s">
        <v>537</v>
      </c>
    </row>
    <row r="23" spans="1:2">
      <c r="A23" t="s">
        <v>365</v>
      </c>
      <c r="B23" t="s">
        <v>538</v>
      </c>
    </row>
    <row r="24" spans="1:2">
      <c r="A24" t="s">
        <v>368</v>
      </c>
      <c r="B24" t="s">
        <v>539</v>
      </c>
    </row>
    <row r="25" spans="1:2">
      <c r="A25" t="s">
        <v>337</v>
      </c>
      <c r="B25" t="s">
        <v>540</v>
      </c>
    </row>
    <row r="26" spans="1:2">
      <c r="A26" t="s">
        <v>337</v>
      </c>
      <c r="B26" t="s">
        <v>540</v>
      </c>
    </row>
    <row r="27" spans="1:2">
      <c r="A27" t="s">
        <v>338</v>
      </c>
      <c r="B27" t="s">
        <v>541</v>
      </c>
    </row>
    <row r="28" spans="1:2">
      <c r="A28" t="s">
        <v>338</v>
      </c>
      <c r="B28" t="s">
        <v>541</v>
      </c>
    </row>
    <row r="29" spans="1:2">
      <c r="A29" t="s">
        <v>357</v>
      </c>
      <c r="B29" t="s">
        <v>542</v>
      </c>
    </row>
    <row r="30" spans="1:2">
      <c r="A30" t="s">
        <v>331</v>
      </c>
      <c r="B30" t="s">
        <v>543</v>
      </c>
    </row>
    <row r="31" spans="1:2">
      <c r="A31" t="s">
        <v>473</v>
      </c>
      <c r="B31" t="s">
        <v>544</v>
      </c>
    </row>
    <row r="32" spans="1:2">
      <c r="A32" t="s">
        <v>332</v>
      </c>
      <c r="B32" t="s">
        <v>545</v>
      </c>
    </row>
    <row r="33" spans="1:2">
      <c r="A33" t="s">
        <v>422</v>
      </c>
      <c r="B33" t="s">
        <v>546</v>
      </c>
    </row>
    <row r="34" spans="1:2">
      <c r="A34" t="s">
        <v>423</v>
      </c>
      <c r="B34" t="s">
        <v>547</v>
      </c>
    </row>
    <row r="35" spans="1:2">
      <c r="A35" t="s">
        <v>411</v>
      </c>
      <c r="B35" t="s">
        <v>548</v>
      </c>
    </row>
    <row r="36" spans="1:2">
      <c r="A36" t="s">
        <v>393</v>
      </c>
      <c r="B36" t="s">
        <v>549</v>
      </c>
    </row>
    <row r="37" spans="1:2">
      <c r="A37" t="s">
        <v>369</v>
      </c>
      <c r="B37" t="s">
        <v>550</v>
      </c>
    </row>
    <row r="38" spans="1:2">
      <c r="A38" t="s">
        <v>382</v>
      </c>
      <c r="B38" t="s">
        <v>551</v>
      </c>
    </row>
    <row r="39" spans="1:2">
      <c r="A39" t="s">
        <v>383</v>
      </c>
      <c r="B39" t="s">
        <v>552</v>
      </c>
    </row>
    <row r="40" spans="1:2">
      <c r="A40" t="s">
        <v>449</v>
      </c>
      <c r="B40" t="s">
        <v>553</v>
      </c>
    </row>
    <row r="41" spans="1:2">
      <c r="A41" t="s">
        <v>451</v>
      </c>
      <c r="B41" t="s">
        <v>554</v>
      </c>
    </row>
    <row r="42" spans="1:2">
      <c r="A42" t="s">
        <v>453</v>
      </c>
      <c r="B42" t="s">
        <v>555</v>
      </c>
    </row>
    <row r="43" spans="1:2">
      <c r="A43" t="s">
        <v>456</v>
      </c>
      <c r="B43" t="s">
        <v>556</v>
      </c>
    </row>
    <row r="44" spans="1:2">
      <c r="A44" t="s">
        <v>461</v>
      </c>
      <c r="B44" t="s">
        <v>557</v>
      </c>
    </row>
    <row r="45" spans="1:2">
      <c r="A45" t="s">
        <v>466</v>
      </c>
      <c r="B45" t="s">
        <v>558</v>
      </c>
    </row>
    <row r="46" spans="1:2">
      <c r="A46" t="s">
        <v>463</v>
      </c>
      <c r="B46" t="s">
        <v>559</v>
      </c>
    </row>
    <row r="47" spans="1:2">
      <c r="A47" t="s">
        <v>464</v>
      </c>
      <c r="B47" t="s">
        <v>560</v>
      </c>
    </row>
    <row r="48" spans="1:2">
      <c r="A48" t="s">
        <v>468</v>
      </c>
      <c r="B48" t="s">
        <v>561</v>
      </c>
    </row>
    <row r="49" spans="1:2">
      <c r="A49" t="s">
        <v>378</v>
      </c>
      <c r="B49" t="s">
        <v>562</v>
      </c>
    </row>
    <row r="50" spans="1:2">
      <c r="A50" t="s">
        <v>492</v>
      </c>
      <c r="B50" t="s">
        <v>493</v>
      </c>
    </row>
    <row r="51" spans="1:2">
      <c r="A51" t="s">
        <v>363</v>
      </c>
      <c r="B51" t="s">
        <v>563</v>
      </c>
    </row>
    <row r="52" spans="1:2">
      <c r="A52" t="s">
        <v>379</v>
      </c>
      <c r="B52" t="s">
        <v>564</v>
      </c>
    </row>
    <row r="53" spans="1:2">
      <c r="A53" t="s">
        <v>504</v>
      </c>
      <c r="B53" t="s">
        <v>565</v>
      </c>
    </row>
    <row r="54" spans="1:2">
      <c r="A54" t="s">
        <v>370</v>
      </c>
      <c r="B54" t="s">
        <v>566</v>
      </c>
    </row>
    <row r="55" spans="1:2">
      <c r="A55" t="s">
        <v>407</v>
      </c>
      <c r="B55" t="s">
        <v>567</v>
      </c>
    </row>
    <row r="56" spans="1:2">
      <c r="A56" t="s">
        <v>433</v>
      </c>
      <c r="B56" t="s">
        <v>568</v>
      </c>
    </row>
    <row r="57" spans="1:2">
      <c r="A57" t="s">
        <v>375</v>
      </c>
      <c r="B57" t="s">
        <v>569</v>
      </c>
    </row>
    <row r="58" spans="1:2">
      <c r="A58" t="s">
        <v>371</v>
      </c>
      <c r="B58" t="s">
        <v>570</v>
      </c>
    </row>
    <row r="59" spans="1:2">
      <c r="A59" t="s">
        <v>372</v>
      </c>
      <c r="B59" t="s">
        <v>571</v>
      </c>
    </row>
    <row r="60" spans="1:2">
      <c r="A60" t="s">
        <v>356</v>
      </c>
      <c r="B60" t="s">
        <v>572</v>
      </c>
    </row>
    <row r="61" spans="1:2">
      <c r="A61" t="s">
        <v>355</v>
      </c>
      <c r="B61" t="s">
        <v>573</v>
      </c>
    </row>
    <row r="62" spans="1:2">
      <c r="A62" t="s">
        <v>373</v>
      </c>
      <c r="B62" t="s">
        <v>574</v>
      </c>
    </row>
    <row r="63" spans="1:2">
      <c r="A63" t="s">
        <v>377</v>
      </c>
      <c r="B63" t="s">
        <v>575</v>
      </c>
    </row>
    <row r="64" spans="1:2">
      <c r="A64" t="s">
        <v>367</v>
      </c>
      <c r="B64" t="s">
        <v>575</v>
      </c>
    </row>
    <row r="65" spans="1:2">
      <c r="A65" t="s">
        <v>374</v>
      </c>
      <c r="B65" t="s">
        <v>576</v>
      </c>
    </row>
    <row r="66" spans="1:2">
      <c r="A66" t="s">
        <v>376</v>
      </c>
      <c r="B66" t="s">
        <v>577</v>
      </c>
    </row>
    <row r="67" spans="1:2">
      <c r="A67" t="s">
        <v>412</v>
      </c>
      <c r="B67" t="s">
        <v>578</v>
      </c>
    </row>
    <row r="68" spans="1:2">
      <c r="A68" t="s">
        <v>394</v>
      </c>
      <c r="B68" t="s">
        <v>579</v>
      </c>
    </row>
    <row r="69" spans="1:2">
      <c r="A69" t="s">
        <v>413</v>
      </c>
      <c r="B69" t="s">
        <v>580</v>
      </c>
    </row>
    <row r="70" spans="1:2">
      <c r="A70" t="s">
        <v>395</v>
      </c>
      <c r="B70" t="s">
        <v>581</v>
      </c>
    </row>
    <row r="71" spans="1:2">
      <c r="A71" t="s">
        <v>471</v>
      </c>
      <c r="B71" t="s">
        <v>503</v>
      </c>
    </row>
    <row r="72" spans="1:2">
      <c r="A72" t="s">
        <v>390</v>
      </c>
      <c r="B72" t="s">
        <v>582</v>
      </c>
    </row>
    <row r="73" spans="1:2">
      <c r="A73" t="s">
        <v>361</v>
      </c>
      <c r="B73" t="s">
        <v>502</v>
      </c>
    </row>
    <row r="74" spans="1:2">
      <c r="A74" t="s">
        <v>380</v>
      </c>
      <c r="B74" t="s">
        <v>583</v>
      </c>
    </row>
    <row r="75" spans="1:2">
      <c r="A75" t="s">
        <v>432</v>
      </c>
      <c r="B75" t="s">
        <v>584</v>
      </c>
    </row>
    <row r="76" spans="1:2">
      <c r="A76" t="s">
        <v>384</v>
      </c>
      <c r="B76" t="s">
        <v>585</v>
      </c>
    </row>
    <row r="77" spans="1:2">
      <c r="A77" t="s">
        <v>408</v>
      </c>
      <c r="B77" t="s">
        <v>586</v>
      </c>
    </row>
    <row r="78" spans="1:2">
      <c r="A78" t="s">
        <v>396</v>
      </c>
      <c r="B78" t="s">
        <v>587</v>
      </c>
    </row>
    <row r="79" spans="1:2">
      <c r="A79" t="s">
        <v>458</v>
      </c>
      <c r="B79" t="s">
        <v>588</v>
      </c>
    </row>
    <row r="80" spans="1:2">
      <c r="A80" t="s">
        <v>385</v>
      </c>
      <c r="B80" t="s">
        <v>589</v>
      </c>
    </row>
    <row r="81" spans="1:2">
      <c r="A81" t="s">
        <v>386</v>
      </c>
      <c r="B81" t="s">
        <v>590</v>
      </c>
    </row>
    <row r="82" spans="1:2">
      <c r="A82" t="s">
        <v>404</v>
      </c>
      <c r="B82" t="s">
        <v>591</v>
      </c>
    </row>
    <row r="83" spans="1:2">
      <c r="A83" t="s">
        <v>387</v>
      </c>
      <c r="B83" t="s">
        <v>592</v>
      </c>
    </row>
    <row r="84" spans="1:2">
      <c r="A84" t="s">
        <v>414</v>
      </c>
      <c r="B84" t="s">
        <v>593</v>
      </c>
    </row>
    <row r="85" spans="1:2">
      <c r="A85" t="s">
        <v>397</v>
      </c>
      <c r="B85" t="s">
        <v>594</v>
      </c>
    </row>
    <row r="86" spans="1:2">
      <c r="A86" t="s">
        <v>415</v>
      </c>
      <c r="B86" t="s">
        <v>595</v>
      </c>
    </row>
    <row r="87" spans="1:2">
      <c r="A87" t="s">
        <v>398</v>
      </c>
      <c r="B87" t="s">
        <v>596</v>
      </c>
    </row>
    <row r="88" spans="1:2">
      <c r="A88" t="s">
        <v>336</v>
      </c>
      <c r="B88" t="s">
        <v>597</v>
      </c>
    </row>
    <row r="89" spans="1:2">
      <c r="A89" t="s">
        <v>399</v>
      </c>
      <c r="B89" t="s">
        <v>598</v>
      </c>
    </row>
    <row r="90" spans="1:2">
      <c r="A90" t="s">
        <v>405</v>
      </c>
      <c r="B90" t="s">
        <v>599</v>
      </c>
    </row>
    <row r="91" spans="1:2">
      <c r="A91" t="s">
        <v>475</v>
      </c>
      <c r="B91" t="s">
        <v>600</v>
      </c>
    </row>
    <row r="92" spans="1:2">
      <c r="A92" t="s">
        <v>476</v>
      </c>
      <c r="B92" t="s">
        <v>601</v>
      </c>
    </row>
    <row r="93" spans="1:2">
      <c r="A93" t="s">
        <v>360</v>
      </c>
      <c r="B93" t="s">
        <v>602</v>
      </c>
    </row>
    <row r="94" spans="1:2">
      <c r="A94" t="s">
        <v>366</v>
      </c>
      <c r="B94" t="s">
        <v>603</v>
      </c>
    </row>
    <row r="95" spans="1:2">
      <c r="A95" t="s">
        <v>472</v>
      </c>
      <c r="B95" t="s">
        <v>498</v>
      </c>
    </row>
    <row r="96" spans="1:2">
      <c r="A96" t="s">
        <v>495</v>
      </c>
      <c r="B96" t="s">
        <v>497</v>
      </c>
    </row>
    <row r="97" spans="1:2">
      <c r="A97" t="s">
        <v>416</v>
      </c>
      <c r="B97" t="s">
        <v>604</v>
      </c>
    </row>
    <row r="98" spans="1:2">
      <c r="A98" t="s">
        <v>400</v>
      </c>
      <c r="B98" t="s">
        <v>605</v>
      </c>
    </row>
    <row r="99" spans="1:2">
      <c r="A99" t="s">
        <v>417</v>
      </c>
      <c r="B99" t="s">
        <v>606</v>
      </c>
    </row>
    <row r="100" spans="1:2">
      <c r="A100" t="s">
        <v>401</v>
      </c>
      <c r="B100" t="s">
        <v>607</v>
      </c>
    </row>
    <row r="101" spans="1:2">
      <c r="A101" t="s">
        <v>418</v>
      </c>
      <c r="B101" t="s">
        <v>608</v>
      </c>
    </row>
    <row r="102" spans="1:2">
      <c r="A102" t="s">
        <v>402</v>
      </c>
      <c r="B102" t="s">
        <v>609</v>
      </c>
    </row>
    <row r="103" spans="1:2">
      <c r="A103" t="s">
        <v>431</v>
      </c>
      <c r="B103" t="s">
        <v>610</v>
      </c>
    </row>
    <row r="104" spans="1:2">
      <c r="A104" t="s">
        <v>419</v>
      </c>
      <c r="B104" t="s">
        <v>611</v>
      </c>
    </row>
    <row r="105" spans="1:2">
      <c r="A105" t="s">
        <v>403</v>
      </c>
      <c r="B105" t="s">
        <v>612</v>
      </c>
    </row>
    <row r="106" spans="1:2">
      <c r="A106" t="s">
        <v>388</v>
      </c>
      <c r="B106" t="s">
        <v>613</v>
      </c>
    </row>
    <row r="107" spans="1:2">
      <c r="A107" t="s">
        <v>389</v>
      </c>
      <c r="B107" t="s">
        <v>614</v>
      </c>
    </row>
    <row r="108" spans="1:2">
      <c r="A108" t="s">
        <v>281</v>
      </c>
      <c r="B108" t="s">
        <v>615</v>
      </c>
    </row>
    <row r="109" spans="1:2">
      <c r="A109" t="s">
        <v>280</v>
      </c>
      <c r="B109" t="s">
        <v>616</v>
      </c>
    </row>
    <row r="110" spans="1:2">
      <c r="A110" t="s">
        <v>279</v>
      </c>
      <c r="B110" t="s">
        <v>617</v>
      </c>
    </row>
    <row r="111" spans="1:2">
      <c r="A111" t="s">
        <v>278</v>
      </c>
      <c r="B111" t="s">
        <v>618</v>
      </c>
    </row>
    <row r="112" spans="1:2">
      <c r="A112" t="s">
        <v>277</v>
      </c>
      <c r="B112" t="s">
        <v>619</v>
      </c>
    </row>
    <row r="113" spans="1:2">
      <c r="A113" t="s">
        <v>276</v>
      </c>
      <c r="B113" t="s">
        <v>620</v>
      </c>
    </row>
    <row r="114" spans="1:2">
      <c r="A114" t="s">
        <v>275</v>
      </c>
      <c r="B114" t="s">
        <v>621</v>
      </c>
    </row>
    <row r="115" spans="1:2">
      <c r="A115" t="s">
        <v>274</v>
      </c>
      <c r="B115" t="s">
        <v>622</v>
      </c>
    </row>
    <row r="116" spans="1:2">
      <c r="A116" t="s">
        <v>273</v>
      </c>
      <c r="B116" t="s">
        <v>623</v>
      </c>
    </row>
    <row r="117" spans="1:2">
      <c r="A117" t="s">
        <v>85</v>
      </c>
      <c r="B117" t="s">
        <v>624</v>
      </c>
    </row>
    <row r="118" spans="1:2">
      <c r="A118" t="s">
        <v>174</v>
      </c>
      <c r="B118" t="s">
        <v>625</v>
      </c>
    </row>
    <row r="119" spans="1:2">
      <c r="A119" t="s">
        <v>84</v>
      </c>
      <c r="B119" t="s">
        <v>626</v>
      </c>
    </row>
    <row r="120" spans="1:2">
      <c r="A120" t="s">
        <v>173</v>
      </c>
      <c r="B120" t="s">
        <v>627</v>
      </c>
    </row>
    <row r="121" spans="1:2">
      <c r="A121" t="s">
        <v>272</v>
      </c>
      <c r="B121" t="s">
        <v>628</v>
      </c>
    </row>
    <row r="122" spans="1:2">
      <c r="A122" t="s">
        <v>51</v>
      </c>
      <c r="B122" t="s">
        <v>629</v>
      </c>
    </row>
    <row r="123" spans="1:2">
      <c r="A123" t="s">
        <v>139</v>
      </c>
      <c r="B123" t="s">
        <v>630</v>
      </c>
    </row>
    <row r="124" spans="1:2">
      <c r="A124" t="s">
        <v>34</v>
      </c>
      <c r="B124" t="s">
        <v>631</v>
      </c>
    </row>
    <row r="125" spans="1:2">
      <c r="A125" t="s">
        <v>122</v>
      </c>
      <c r="B125" t="s">
        <v>632</v>
      </c>
    </row>
    <row r="126" spans="1:2">
      <c r="A126" t="s">
        <v>3</v>
      </c>
      <c r="B126" t="s">
        <v>633</v>
      </c>
    </row>
    <row r="127" spans="1:2">
      <c r="A127" t="s">
        <v>91</v>
      </c>
      <c r="B127" t="s">
        <v>634</v>
      </c>
    </row>
    <row r="128" spans="1:2">
      <c r="A128" t="s">
        <v>271</v>
      </c>
      <c r="B128" t="s">
        <v>635</v>
      </c>
    </row>
    <row r="129" spans="1:2">
      <c r="A129" t="s">
        <v>270</v>
      </c>
      <c r="B129" t="s">
        <v>636</v>
      </c>
    </row>
    <row r="130" spans="1:2">
      <c r="A130" t="s">
        <v>268</v>
      </c>
      <c r="B130" t="s">
        <v>637</v>
      </c>
    </row>
    <row r="131" spans="1:2">
      <c r="A131" t="s">
        <v>267</v>
      </c>
      <c r="B131" t="s">
        <v>638</v>
      </c>
    </row>
    <row r="132" spans="1:2">
      <c r="A132" t="s">
        <v>81</v>
      </c>
      <c r="B132" t="s">
        <v>639</v>
      </c>
    </row>
    <row r="133" spans="1:2">
      <c r="A133" t="s">
        <v>170</v>
      </c>
      <c r="B133" t="s">
        <v>640</v>
      </c>
    </row>
    <row r="134" spans="1:2">
      <c r="A134" t="s">
        <v>266</v>
      </c>
      <c r="B134" t="s">
        <v>641</v>
      </c>
    </row>
    <row r="135" spans="1:2">
      <c r="A135" t="s">
        <v>265</v>
      </c>
      <c r="B135" t="s">
        <v>642</v>
      </c>
    </row>
    <row r="136" spans="1:2">
      <c r="A136" t="s">
        <v>169</v>
      </c>
      <c r="B136" t="s">
        <v>643</v>
      </c>
    </row>
    <row r="137" spans="1:2">
      <c r="A137" t="s">
        <v>264</v>
      </c>
      <c r="B137" t="s">
        <v>644</v>
      </c>
    </row>
    <row r="138" spans="1:2">
      <c r="A138" t="s">
        <v>263</v>
      </c>
      <c r="B138" t="s">
        <v>645</v>
      </c>
    </row>
    <row r="139" spans="1:2">
      <c r="A139" t="s">
        <v>262</v>
      </c>
      <c r="B139" t="s">
        <v>646</v>
      </c>
    </row>
    <row r="140" spans="1:2">
      <c r="A140" t="s">
        <v>269</v>
      </c>
      <c r="B140" t="s">
        <v>647</v>
      </c>
    </row>
    <row r="141" spans="1:2">
      <c r="A141" t="s">
        <v>261</v>
      </c>
      <c r="B141" t="s">
        <v>648</v>
      </c>
    </row>
    <row r="142" spans="1:2">
      <c r="A142" t="s">
        <v>260</v>
      </c>
      <c r="B142" t="s">
        <v>649</v>
      </c>
    </row>
    <row r="143" spans="1:2">
      <c r="A143" t="s">
        <v>259</v>
      </c>
      <c r="B143" t="s">
        <v>650</v>
      </c>
    </row>
    <row r="144" spans="1:2">
      <c r="A144" t="s">
        <v>258</v>
      </c>
      <c r="B144" t="s">
        <v>651</v>
      </c>
    </row>
    <row r="145" spans="1:2">
      <c r="A145" t="s">
        <v>257</v>
      </c>
      <c r="B145" t="s">
        <v>652</v>
      </c>
    </row>
    <row r="146" spans="1:2">
      <c r="A146" t="s">
        <v>256</v>
      </c>
      <c r="B146" t="s">
        <v>653</v>
      </c>
    </row>
    <row r="147" spans="1:2">
      <c r="A147" t="s">
        <v>255</v>
      </c>
      <c r="B147" t="s">
        <v>654</v>
      </c>
    </row>
    <row r="148" spans="1:2">
      <c r="A148" t="s">
        <v>254</v>
      </c>
      <c r="B148" t="s">
        <v>655</v>
      </c>
    </row>
    <row r="149" spans="1:2">
      <c r="A149" t="s">
        <v>253</v>
      </c>
      <c r="B149" t="s">
        <v>656</v>
      </c>
    </row>
    <row r="150" spans="1:2">
      <c r="A150" t="s">
        <v>252</v>
      </c>
      <c r="B150" t="s">
        <v>657</v>
      </c>
    </row>
    <row r="151" spans="1:2">
      <c r="A151" t="s">
        <v>80</v>
      </c>
      <c r="B151" t="s">
        <v>658</v>
      </c>
    </row>
    <row r="152" spans="1:2">
      <c r="A152" t="s">
        <v>168</v>
      </c>
      <c r="B152" t="s">
        <v>659</v>
      </c>
    </row>
    <row r="153" spans="1:2">
      <c r="A153" t="s">
        <v>77</v>
      </c>
      <c r="B153" t="s">
        <v>660</v>
      </c>
    </row>
    <row r="154" spans="1:2">
      <c r="A154" t="s">
        <v>165</v>
      </c>
      <c r="B154" t="s">
        <v>661</v>
      </c>
    </row>
    <row r="155" spans="1:2">
      <c r="A155" t="s">
        <v>76</v>
      </c>
      <c r="B155" t="s">
        <v>662</v>
      </c>
    </row>
    <row r="156" spans="1:2">
      <c r="A156" t="s">
        <v>164</v>
      </c>
      <c r="B156" t="s">
        <v>663</v>
      </c>
    </row>
    <row r="157" spans="1:2">
      <c r="A157" t="s">
        <v>75</v>
      </c>
      <c r="B157" t="s">
        <v>664</v>
      </c>
    </row>
    <row r="158" spans="1:2">
      <c r="A158" t="s">
        <v>163</v>
      </c>
      <c r="B158" t="s">
        <v>665</v>
      </c>
    </row>
    <row r="159" spans="1:2">
      <c r="A159" t="s">
        <v>70</v>
      </c>
      <c r="B159" t="s">
        <v>666</v>
      </c>
    </row>
    <row r="160" spans="1:2">
      <c r="A160" t="s">
        <v>158</v>
      </c>
      <c r="B160" t="s">
        <v>667</v>
      </c>
    </row>
    <row r="161" spans="1:2">
      <c r="A161" t="s">
        <v>251</v>
      </c>
      <c r="B161" t="s">
        <v>668</v>
      </c>
    </row>
    <row r="162" spans="1:2">
      <c r="A162" t="s">
        <v>73</v>
      </c>
      <c r="B162" t="s">
        <v>669</v>
      </c>
    </row>
    <row r="163" spans="1:2">
      <c r="A163" t="s">
        <v>161</v>
      </c>
      <c r="B163" t="s">
        <v>670</v>
      </c>
    </row>
    <row r="164" spans="1:2">
      <c r="A164" t="s">
        <v>250</v>
      </c>
      <c r="B164" t="s">
        <v>671</v>
      </c>
    </row>
    <row r="165" spans="1:2">
      <c r="A165" t="s">
        <v>249</v>
      </c>
      <c r="B165" t="s">
        <v>672</v>
      </c>
    </row>
    <row r="166" spans="1:2">
      <c r="A166" t="s">
        <v>248</v>
      </c>
      <c r="B166" t="s">
        <v>673</v>
      </c>
    </row>
    <row r="167" spans="1:2">
      <c r="A167" t="s">
        <v>247</v>
      </c>
      <c r="B167" t="s">
        <v>674</v>
      </c>
    </row>
    <row r="168" spans="1:2">
      <c r="A168" t="s">
        <v>439</v>
      </c>
      <c r="B168" t="s">
        <v>675</v>
      </c>
    </row>
    <row r="169" spans="1:2">
      <c r="A169" t="s">
        <v>72</v>
      </c>
      <c r="B169" t="s">
        <v>676</v>
      </c>
    </row>
    <row r="170" spans="1:2">
      <c r="A170" t="s">
        <v>160</v>
      </c>
      <c r="B170" t="s">
        <v>677</v>
      </c>
    </row>
    <row r="171" spans="1:2">
      <c r="A171" t="s">
        <v>246</v>
      </c>
      <c r="B171" t="s">
        <v>678</v>
      </c>
    </row>
    <row r="172" spans="1:2">
      <c r="A172" t="s">
        <v>245</v>
      </c>
      <c r="B172" t="s">
        <v>679</v>
      </c>
    </row>
    <row r="173" spans="1:2">
      <c r="A173" t="s">
        <v>71</v>
      </c>
      <c r="B173" t="s">
        <v>680</v>
      </c>
    </row>
    <row r="174" spans="1:2">
      <c r="A174" t="s">
        <v>159</v>
      </c>
      <c r="B174" t="s">
        <v>681</v>
      </c>
    </row>
    <row r="175" spans="1:2">
      <c r="A175" t="s">
        <v>69</v>
      </c>
      <c r="B175" t="s">
        <v>682</v>
      </c>
    </row>
    <row r="176" spans="1:2">
      <c r="A176" t="s">
        <v>157</v>
      </c>
      <c r="B176" t="s">
        <v>683</v>
      </c>
    </row>
    <row r="177" spans="1:2">
      <c r="A177" t="s">
        <v>68</v>
      </c>
      <c r="B177" t="s">
        <v>684</v>
      </c>
    </row>
    <row r="178" spans="1:2">
      <c r="A178" t="s">
        <v>156</v>
      </c>
      <c r="B178" t="s">
        <v>685</v>
      </c>
    </row>
    <row r="179" spans="1:2">
      <c r="A179" t="s">
        <v>67</v>
      </c>
      <c r="B179" t="s">
        <v>686</v>
      </c>
    </row>
    <row r="180" spans="1:2">
      <c r="A180" t="s">
        <v>155</v>
      </c>
      <c r="B180" t="s">
        <v>687</v>
      </c>
    </row>
    <row r="181" spans="1:2">
      <c r="A181" t="s">
        <v>66</v>
      </c>
      <c r="B181" t="s">
        <v>688</v>
      </c>
    </row>
    <row r="182" spans="1:2">
      <c r="A182" t="s">
        <v>154</v>
      </c>
      <c r="B182" t="s">
        <v>689</v>
      </c>
    </row>
    <row r="183" spans="1:2">
      <c r="A183" t="s">
        <v>65</v>
      </c>
      <c r="B183" t="s">
        <v>690</v>
      </c>
    </row>
    <row r="184" spans="1:2">
      <c r="A184" t="s">
        <v>153</v>
      </c>
      <c r="B184" t="s">
        <v>691</v>
      </c>
    </row>
    <row r="185" spans="1:2">
      <c r="A185" t="s">
        <v>244</v>
      </c>
      <c r="B185" t="s">
        <v>692</v>
      </c>
    </row>
    <row r="186" spans="1:2">
      <c r="A186" t="s">
        <v>64</v>
      </c>
      <c r="B186" t="s">
        <v>693</v>
      </c>
    </row>
    <row r="187" spans="1:2">
      <c r="A187" t="s">
        <v>152</v>
      </c>
      <c r="B187" t="s">
        <v>694</v>
      </c>
    </row>
    <row r="188" spans="1:2">
      <c r="A188" t="s">
        <v>243</v>
      </c>
      <c r="B188" t="s">
        <v>695</v>
      </c>
    </row>
    <row r="189" spans="1:2">
      <c r="A189" t="s">
        <v>63</v>
      </c>
      <c r="B189" t="s">
        <v>696</v>
      </c>
    </row>
    <row r="190" spans="1:2">
      <c r="A190" t="s">
        <v>151</v>
      </c>
      <c r="B190" t="s">
        <v>697</v>
      </c>
    </row>
    <row r="191" spans="1:2">
      <c r="A191" t="s">
        <v>242</v>
      </c>
      <c r="B191" t="s">
        <v>698</v>
      </c>
    </row>
    <row r="192" spans="1:2">
      <c r="A192" t="s">
        <v>38</v>
      </c>
      <c r="B192" t="s">
        <v>699</v>
      </c>
    </row>
    <row r="193" spans="1:2">
      <c r="A193" t="s">
        <v>126</v>
      </c>
      <c r="B193" t="s">
        <v>700</v>
      </c>
    </row>
    <row r="194" spans="1:2">
      <c r="A194" t="s">
        <v>241</v>
      </c>
      <c r="B194" t="s">
        <v>701</v>
      </c>
    </row>
    <row r="195" spans="1:2">
      <c r="A195" t="s">
        <v>240</v>
      </c>
      <c r="B195" t="s">
        <v>702</v>
      </c>
    </row>
    <row r="196" spans="1:2">
      <c r="A196" t="s">
        <v>6</v>
      </c>
      <c r="B196" t="s">
        <v>703</v>
      </c>
    </row>
    <row r="197" spans="1:2">
      <c r="A197" t="s">
        <v>94</v>
      </c>
      <c r="B197" t="s">
        <v>704</v>
      </c>
    </row>
    <row r="198" spans="1:2">
      <c r="A198" t="s">
        <v>7</v>
      </c>
      <c r="B198" t="s">
        <v>705</v>
      </c>
    </row>
    <row r="199" spans="1:2">
      <c r="A199" t="s">
        <v>95</v>
      </c>
      <c r="B199" t="s">
        <v>706</v>
      </c>
    </row>
    <row r="200" spans="1:2">
      <c r="A200" t="s">
        <v>239</v>
      </c>
      <c r="B200" t="s">
        <v>707</v>
      </c>
    </row>
    <row r="201" spans="1:2">
      <c r="A201" t="s">
        <v>238</v>
      </c>
      <c r="B201" t="s">
        <v>708</v>
      </c>
    </row>
    <row r="202" spans="1:2">
      <c r="A202" t="s">
        <v>60</v>
      </c>
      <c r="B202" t="s">
        <v>709</v>
      </c>
    </row>
    <row r="203" spans="1:2">
      <c r="A203" t="s">
        <v>148</v>
      </c>
      <c r="B203" t="s">
        <v>710</v>
      </c>
    </row>
    <row r="204" spans="1:2">
      <c r="A204" t="s">
        <v>435</v>
      </c>
      <c r="B204" t="s">
        <v>711</v>
      </c>
    </row>
    <row r="205" spans="1:2">
      <c r="A205" t="s">
        <v>440</v>
      </c>
      <c r="B205" t="s">
        <v>712</v>
      </c>
    </row>
    <row r="206" spans="1:2">
      <c r="A206" t="s">
        <v>436</v>
      </c>
      <c r="B206" t="s">
        <v>713</v>
      </c>
    </row>
    <row r="207" spans="1:2">
      <c r="A207" t="s">
        <v>441</v>
      </c>
      <c r="B207" t="s">
        <v>714</v>
      </c>
    </row>
    <row r="208" spans="1:2">
      <c r="A208" t="s">
        <v>442</v>
      </c>
      <c r="B208" t="s">
        <v>715</v>
      </c>
    </row>
    <row r="209" spans="1:2">
      <c r="A209" t="s">
        <v>443</v>
      </c>
      <c r="B209" t="s">
        <v>716</v>
      </c>
    </row>
    <row r="210" spans="1:2">
      <c r="A210" t="s">
        <v>444</v>
      </c>
      <c r="B210" t="s">
        <v>717</v>
      </c>
    </row>
    <row r="211" spans="1:2">
      <c r="A211" t="s">
        <v>437</v>
      </c>
      <c r="B211" t="s">
        <v>718</v>
      </c>
    </row>
    <row r="212" spans="1:2">
      <c r="A212" t="s">
        <v>445</v>
      </c>
      <c r="B212" t="s">
        <v>719</v>
      </c>
    </row>
    <row r="213" spans="1:2">
      <c r="A213" t="s">
        <v>446</v>
      </c>
      <c r="B213" t="s">
        <v>720</v>
      </c>
    </row>
    <row r="214" spans="1:2">
      <c r="A214" t="s">
        <v>447</v>
      </c>
      <c r="B214" t="s">
        <v>721</v>
      </c>
    </row>
    <row r="215" spans="1:2">
      <c r="A215" t="s">
        <v>448</v>
      </c>
      <c r="B215" t="s">
        <v>722</v>
      </c>
    </row>
    <row r="216" spans="1:2">
      <c r="A216" t="s">
        <v>450</v>
      </c>
      <c r="B216" t="s">
        <v>723</v>
      </c>
    </row>
    <row r="217" spans="1:2">
      <c r="A217" t="s">
        <v>452</v>
      </c>
      <c r="B217" t="s">
        <v>724</v>
      </c>
    </row>
    <row r="218" spans="1:2">
      <c r="A218" t="s">
        <v>438</v>
      </c>
      <c r="B218" t="s">
        <v>725</v>
      </c>
    </row>
    <row r="219" spans="1:2">
      <c r="A219" t="s">
        <v>454</v>
      </c>
      <c r="B219" t="s">
        <v>726</v>
      </c>
    </row>
    <row r="220" spans="1:2">
      <c r="A220" t="s">
        <v>455</v>
      </c>
      <c r="B220" t="s">
        <v>727</v>
      </c>
    </row>
    <row r="221" spans="1:2">
      <c r="A221" t="s">
        <v>59</v>
      </c>
      <c r="B221" t="s">
        <v>728</v>
      </c>
    </row>
    <row r="222" spans="1:2">
      <c r="A222" t="s">
        <v>147</v>
      </c>
      <c r="B222" t="s">
        <v>729</v>
      </c>
    </row>
    <row r="223" spans="1:2">
      <c r="A223" t="s">
        <v>58</v>
      </c>
      <c r="B223" t="s">
        <v>730</v>
      </c>
    </row>
    <row r="224" spans="1:2">
      <c r="A224" t="s">
        <v>146</v>
      </c>
      <c r="B224" t="s">
        <v>731</v>
      </c>
    </row>
    <row r="225" spans="1:2">
      <c r="A225" t="s">
        <v>434</v>
      </c>
      <c r="B225" t="s">
        <v>732</v>
      </c>
    </row>
    <row r="226" spans="1:2">
      <c r="A226" t="s">
        <v>237</v>
      </c>
      <c r="B226" t="s">
        <v>733</v>
      </c>
    </row>
    <row r="227" spans="1:2">
      <c r="A227" t="s">
        <v>54</v>
      </c>
      <c r="B227" t="s">
        <v>734</v>
      </c>
    </row>
    <row r="228" spans="1:2">
      <c r="A228" t="s">
        <v>142</v>
      </c>
      <c r="B228" t="s">
        <v>735</v>
      </c>
    </row>
    <row r="229" spans="1:2">
      <c r="A229" t="s">
        <v>52</v>
      </c>
      <c r="B229" t="s">
        <v>736</v>
      </c>
    </row>
    <row r="230" spans="1:2">
      <c r="A230" t="s">
        <v>140</v>
      </c>
      <c r="B230" t="s">
        <v>737</v>
      </c>
    </row>
    <row r="231" spans="1:2">
      <c r="A231" t="s">
        <v>236</v>
      </c>
      <c r="B231" t="s">
        <v>738</v>
      </c>
    </row>
    <row r="232" spans="1:2">
      <c r="A232" t="s">
        <v>235</v>
      </c>
      <c r="B232" t="s">
        <v>739</v>
      </c>
    </row>
    <row r="233" spans="1:2">
      <c r="A233" t="s">
        <v>234</v>
      </c>
      <c r="B233" t="s">
        <v>740</v>
      </c>
    </row>
    <row r="234" spans="1:2">
      <c r="A234" t="s">
        <v>50</v>
      </c>
      <c r="B234" t="s">
        <v>741</v>
      </c>
    </row>
    <row r="235" spans="1:2">
      <c r="A235" t="s">
        <v>138</v>
      </c>
      <c r="B235" t="s">
        <v>742</v>
      </c>
    </row>
    <row r="236" spans="1:2">
      <c r="A236" t="s">
        <v>233</v>
      </c>
      <c r="B236" t="s">
        <v>743</v>
      </c>
    </row>
    <row r="237" spans="1:2">
      <c r="A237" t="s">
        <v>460</v>
      </c>
      <c r="B237" t="s">
        <v>744</v>
      </c>
    </row>
    <row r="238" spans="1:2">
      <c r="A238" t="s">
        <v>465</v>
      </c>
      <c r="B238" t="s">
        <v>745</v>
      </c>
    </row>
    <row r="239" spans="1:2">
      <c r="A239" t="s">
        <v>462</v>
      </c>
      <c r="B239" t="s">
        <v>746</v>
      </c>
    </row>
    <row r="240" spans="1:2">
      <c r="A240" t="s">
        <v>467</v>
      </c>
      <c r="B240" t="s">
        <v>747</v>
      </c>
    </row>
    <row r="241" spans="1:2">
      <c r="A241" t="s">
        <v>232</v>
      </c>
      <c r="B241" t="s">
        <v>748</v>
      </c>
    </row>
    <row r="242" spans="1:2">
      <c r="A242" t="s">
        <v>231</v>
      </c>
      <c r="B242" t="s">
        <v>749</v>
      </c>
    </row>
    <row r="243" spans="1:2">
      <c r="A243" t="s">
        <v>86</v>
      </c>
      <c r="B243" t="s">
        <v>750</v>
      </c>
    </row>
    <row r="244" spans="1:2">
      <c r="A244" t="s">
        <v>175</v>
      </c>
      <c r="B244" t="s">
        <v>751</v>
      </c>
    </row>
    <row r="245" spans="1:2">
      <c r="A245" t="s">
        <v>82</v>
      </c>
      <c r="B245" t="s">
        <v>752</v>
      </c>
    </row>
    <row r="246" spans="1:2">
      <c r="A246" t="s">
        <v>171</v>
      </c>
      <c r="B246" t="s">
        <v>753</v>
      </c>
    </row>
    <row r="247" spans="1:2">
      <c r="A247" t="s">
        <v>27</v>
      </c>
      <c r="B247" t="s">
        <v>754</v>
      </c>
    </row>
    <row r="248" spans="1:2">
      <c r="A248" t="s">
        <v>115</v>
      </c>
      <c r="B248" t="s">
        <v>755</v>
      </c>
    </row>
    <row r="249" spans="1:2">
      <c r="A249" t="s">
        <v>61</v>
      </c>
      <c r="B249" t="s">
        <v>756</v>
      </c>
    </row>
    <row r="250" spans="1:2">
      <c r="A250" t="s">
        <v>149</v>
      </c>
      <c r="B250" t="s">
        <v>757</v>
      </c>
    </row>
    <row r="251" spans="1:2">
      <c r="A251" t="s">
        <v>25</v>
      </c>
      <c r="B251" t="s">
        <v>758</v>
      </c>
    </row>
    <row r="252" spans="1:2">
      <c r="A252" t="s">
        <v>113</v>
      </c>
      <c r="B252" t="s">
        <v>759</v>
      </c>
    </row>
    <row r="253" spans="1:2">
      <c r="A253" t="s">
        <v>24</v>
      </c>
      <c r="B253" t="s">
        <v>760</v>
      </c>
    </row>
    <row r="254" spans="1:2">
      <c r="A254" t="s">
        <v>112</v>
      </c>
      <c r="B254" t="s">
        <v>761</v>
      </c>
    </row>
    <row r="255" spans="1:2">
      <c r="A255" t="s">
        <v>230</v>
      </c>
      <c r="B255" t="s">
        <v>762</v>
      </c>
    </row>
    <row r="256" spans="1:2">
      <c r="A256" t="s">
        <v>53</v>
      </c>
      <c r="B256" t="s">
        <v>763</v>
      </c>
    </row>
    <row r="257" spans="1:2">
      <c r="A257" t="s">
        <v>141</v>
      </c>
      <c r="B257" t="s">
        <v>764</v>
      </c>
    </row>
    <row r="258" spans="1:2">
      <c r="A258" t="s">
        <v>229</v>
      </c>
      <c r="B258" t="s">
        <v>765</v>
      </c>
    </row>
    <row r="259" spans="1:2">
      <c r="A259" t="s">
        <v>228</v>
      </c>
      <c r="B259" t="s">
        <v>766</v>
      </c>
    </row>
    <row r="260" spans="1:2">
      <c r="A260" t="s">
        <v>49</v>
      </c>
      <c r="B260" t="s">
        <v>767</v>
      </c>
    </row>
    <row r="261" spans="1:2">
      <c r="A261" t="s">
        <v>137</v>
      </c>
      <c r="B261" t="s">
        <v>768</v>
      </c>
    </row>
    <row r="262" spans="1:2">
      <c r="A262" t="s">
        <v>227</v>
      </c>
      <c r="B262" t="s">
        <v>769</v>
      </c>
    </row>
    <row r="263" spans="1:2">
      <c r="A263" t="s">
        <v>46</v>
      </c>
      <c r="B263" t="s">
        <v>770</v>
      </c>
    </row>
    <row r="264" spans="1:2">
      <c r="A264" t="s">
        <v>134</v>
      </c>
      <c r="B264" t="s">
        <v>771</v>
      </c>
    </row>
    <row r="265" spans="1:2">
      <c r="A265" t="s">
        <v>37</v>
      </c>
      <c r="B265" t="s">
        <v>494</v>
      </c>
    </row>
    <row r="266" spans="1:2">
      <c r="A266" t="s">
        <v>125</v>
      </c>
      <c r="B266" t="s">
        <v>772</v>
      </c>
    </row>
    <row r="267" spans="1:2">
      <c r="A267" t="s">
        <v>226</v>
      </c>
      <c r="B267" t="s">
        <v>773</v>
      </c>
    </row>
    <row r="268" spans="1:2">
      <c r="A268" t="s">
        <v>225</v>
      </c>
      <c r="B268" t="s">
        <v>774</v>
      </c>
    </row>
    <row r="269" spans="1:2">
      <c r="A269" t="s">
        <v>44</v>
      </c>
      <c r="B269" t="s">
        <v>775</v>
      </c>
    </row>
    <row r="270" spans="1:2">
      <c r="A270" t="s">
        <v>132</v>
      </c>
      <c r="B270" t="s">
        <v>776</v>
      </c>
    </row>
    <row r="271" spans="1:2">
      <c r="A271" t="s">
        <v>224</v>
      </c>
      <c r="B271" t="s">
        <v>777</v>
      </c>
    </row>
    <row r="272" spans="1:2">
      <c r="A272" t="s">
        <v>223</v>
      </c>
      <c r="B272" t="s">
        <v>778</v>
      </c>
    </row>
    <row r="273" spans="1:2">
      <c r="A273" t="s">
        <v>222</v>
      </c>
      <c r="B273" t="s">
        <v>779</v>
      </c>
    </row>
    <row r="274" spans="1:2">
      <c r="A274" t="s">
        <v>221</v>
      </c>
      <c r="B274" t="s">
        <v>780</v>
      </c>
    </row>
    <row r="275" spans="1:2">
      <c r="A275" t="s">
        <v>220</v>
      </c>
      <c r="B275" t="s">
        <v>781</v>
      </c>
    </row>
    <row r="276" spans="1:2">
      <c r="A276" t="s">
        <v>219</v>
      </c>
      <c r="B276" t="s">
        <v>782</v>
      </c>
    </row>
    <row r="277" spans="1:2">
      <c r="A277" t="s">
        <v>218</v>
      </c>
      <c r="B277" t="s">
        <v>783</v>
      </c>
    </row>
    <row r="278" spans="1:2">
      <c r="A278" t="s">
        <v>217</v>
      </c>
      <c r="B278" t="s">
        <v>784</v>
      </c>
    </row>
    <row r="279" spans="1:2">
      <c r="A279" t="s">
        <v>216</v>
      </c>
      <c r="B279" t="s">
        <v>785</v>
      </c>
    </row>
    <row r="280" spans="1:2">
      <c r="A280" t="s">
        <v>215</v>
      </c>
      <c r="B280" t="s">
        <v>786</v>
      </c>
    </row>
    <row r="281" spans="1:2">
      <c r="A281" t="s">
        <v>214</v>
      </c>
      <c r="B281" t="s">
        <v>787</v>
      </c>
    </row>
    <row r="282" spans="1:2">
      <c r="A282" t="s">
        <v>0</v>
      </c>
      <c r="B282" t="s">
        <v>788</v>
      </c>
    </row>
    <row r="283" spans="1:2">
      <c r="A283" t="s">
        <v>88</v>
      </c>
      <c r="B283" t="s">
        <v>789</v>
      </c>
    </row>
    <row r="284" spans="1:2">
      <c r="A284" t="s">
        <v>213</v>
      </c>
      <c r="B284" t="s">
        <v>790</v>
      </c>
    </row>
    <row r="285" spans="1:2">
      <c r="A285" t="s">
        <v>212</v>
      </c>
      <c r="B285" t="s">
        <v>791</v>
      </c>
    </row>
    <row r="286" spans="1:2">
      <c r="A286" t="s">
        <v>87</v>
      </c>
      <c r="B286" t="s">
        <v>792</v>
      </c>
    </row>
    <row r="287" spans="1:2">
      <c r="A287" t="s">
        <v>176</v>
      </c>
      <c r="B287" t="s">
        <v>793</v>
      </c>
    </row>
    <row r="288" spans="1:2">
      <c r="A288" t="s">
        <v>83</v>
      </c>
      <c r="B288" t="s">
        <v>794</v>
      </c>
    </row>
    <row r="289" spans="1:2">
      <c r="A289" t="s">
        <v>172</v>
      </c>
      <c r="B289" t="s">
        <v>795</v>
      </c>
    </row>
    <row r="290" spans="1:2">
      <c r="A290" t="s">
        <v>74</v>
      </c>
      <c r="B290" t="s">
        <v>796</v>
      </c>
    </row>
    <row r="291" spans="1:2">
      <c r="A291" t="s">
        <v>162</v>
      </c>
      <c r="B291" t="s">
        <v>797</v>
      </c>
    </row>
    <row r="292" spans="1:2">
      <c r="A292" t="s">
        <v>28</v>
      </c>
      <c r="B292" t="s">
        <v>798</v>
      </c>
    </row>
    <row r="293" spans="1:2">
      <c r="A293" t="s">
        <v>116</v>
      </c>
      <c r="B293" t="s">
        <v>799</v>
      </c>
    </row>
    <row r="294" spans="1:2">
      <c r="A294" t="s">
        <v>26</v>
      </c>
      <c r="B294" t="s">
        <v>800</v>
      </c>
    </row>
    <row r="295" spans="1:2">
      <c r="A295" t="s">
        <v>114</v>
      </c>
      <c r="B295" t="s">
        <v>801</v>
      </c>
    </row>
    <row r="296" spans="1:2">
      <c r="A296" t="s">
        <v>48</v>
      </c>
      <c r="B296" t="s">
        <v>802</v>
      </c>
    </row>
    <row r="297" spans="1:2">
      <c r="A297" t="s">
        <v>136</v>
      </c>
      <c r="B297" t="s">
        <v>803</v>
      </c>
    </row>
    <row r="298" spans="1:2">
      <c r="A298" t="s">
        <v>36</v>
      </c>
      <c r="B298" t="s">
        <v>804</v>
      </c>
    </row>
    <row r="299" spans="1:2">
      <c r="A299" t="s">
        <v>124</v>
      </c>
      <c r="B299" t="s">
        <v>805</v>
      </c>
    </row>
    <row r="300" spans="1:2">
      <c r="A300" t="s">
        <v>2</v>
      </c>
      <c r="B300" t="s">
        <v>806</v>
      </c>
    </row>
    <row r="301" spans="1:2">
      <c r="A301" t="s">
        <v>90</v>
      </c>
      <c r="B301" t="s">
        <v>807</v>
      </c>
    </row>
    <row r="302" spans="1:2">
      <c r="A302" t="s">
        <v>47</v>
      </c>
      <c r="B302" t="s">
        <v>808</v>
      </c>
    </row>
    <row r="303" spans="1:2">
      <c r="A303" t="s">
        <v>135</v>
      </c>
      <c r="B303" t="s">
        <v>809</v>
      </c>
    </row>
    <row r="304" spans="1:2">
      <c r="A304" t="s">
        <v>42</v>
      </c>
      <c r="B304" t="s">
        <v>810</v>
      </c>
    </row>
    <row r="305" spans="1:2">
      <c r="A305" t="s">
        <v>130</v>
      </c>
      <c r="B305" t="s">
        <v>811</v>
      </c>
    </row>
    <row r="306" spans="1:2">
      <c r="A306" t="s">
        <v>211</v>
      </c>
      <c r="B306" t="s">
        <v>812</v>
      </c>
    </row>
    <row r="307" spans="1:2">
      <c r="A307" t="s">
        <v>210</v>
      </c>
      <c r="B307" t="s">
        <v>813</v>
      </c>
    </row>
    <row r="308" spans="1:2">
      <c r="A308" t="s">
        <v>209</v>
      </c>
      <c r="B308" t="s">
        <v>814</v>
      </c>
    </row>
    <row r="309" spans="1:2">
      <c r="A309" t="s">
        <v>208</v>
      </c>
      <c r="B309" t="s">
        <v>815</v>
      </c>
    </row>
    <row r="310" spans="1:2">
      <c r="A310" t="s">
        <v>41</v>
      </c>
      <c r="B310" t="s">
        <v>816</v>
      </c>
    </row>
    <row r="311" spans="1:2">
      <c r="A311" t="s">
        <v>129</v>
      </c>
      <c r="B311" t="s">
        <v>817</v>
      </c>
    </row>
    <row r="312" spans="1:2">
      <c r="A312" t="s">
        <v>207</v>
      </c>
      <c r="B312" t="s">
        <v>818</v>
      </c>
    </row>
    <row r="313" spans="1:2">
      <c r="A313" t="s">
        <v>39</v>
      </c>
      <c r="B313" t="s">
        <v>819</v>
      </c>
    </row>
    <row r="314" spans="1:2">
      <c r="A314" t="s">
        <v>127</v>
      </c>
      <c r="B314" t="s">
        <v>820</v>
      </c>
    </row>
    <row r="315" spans="1:2">
      <c r="A315" t="s">
        <v>206</v>
      </c>
      <c r="B315" t="s">
        <v>821</v>
      </c>
    </row>
    <row r="316" spans="1:2">
      <c r="A316" t="s">
        <v>35</v>
      </c>
      <c r="B316" t="s">
        <v>822</v>
      </c>
    </row>
    <row r="317" spans="1:2">
      <c r="A317" t="s">
        <v>123</v>
      </c>
      <c r="B317" t="s">
        <v>823</v>
      </c>
    </row>
    <row r="318" spans="1:2">
      <c r="A318" t="s">
        <v>205</v>
      </c>
      <c r="B318" t="s">
        <v>824</v>
      </c>
    </row>
    <row r="319" spans="1:2">
      <c r="A319" t="s">
        <v>79</v>
      </c>
      <c r="B319" t="s">
        <v>825</v>
      </c>
    </row>
    <row r="320" spans="1:2">
      <c r="A320" t="s">
        <v>167</v>
      </c>
      <c r="B320" t="s">
        <v>826</v>
      </c>
    </row>
    <row r="321" spans="1:2">
      <c r="A321" t="s">
        <v>78</v>
      </c>
      <c r="B321" t="s">
        <v>827</v>
      </c>
    </row>
    <row r="322" spans="1:2">
      <c r="A322" t="s">
        <v>166</v>
      </c>
      <c r="B322" t="s">
        <v>828</v>
      </c>
    </row>
    <row r="323" spans="1:2">
      <c r="A323" t="s">
        <v>45</v>
      </c>
      <c r="B323" t="s">
        <v>829</v>
      </c>
    </row>
    <row r="324" spans="1:2">
      <c r="A324" t="s">
        <v>133</v>
      </c>
      <c r="B324" t="s">
        <v>830</v>
      </c>
    </row>
    <row r="325" spans="1:2">
      <c r="A325" t="s">
        <v>40</v>
      </c>
      <c r="B325" t="s">
        <v>831</v>
      </c>
    </row>
    <row r="326" spans="1:2">
      <c r="A326" t="s">
        <v>128</v>
      </c>
      <c r="B326" t="s">
        <v>832</v>
      </c>
    </row>
    <row r="327" spans="1:2">
      <c r="A327" t="s">
        <v>21</v>
      </c>
      <c r="B327" t="s">
        <v>833</v>
      </c>
    </row>
    <row r="328" spans="1:2">
      <c r="A328" t="s">
        <v>109</v>
      </c>
      <c r="B328" t="s">
        <v>834</v>
      </c>
    </row>
    <row r="329" spans="1:2">
      <c r="A329" t="s">
        <v>20</v>
      </c>
      <c r="B329" t="s">
        <v>835</v>
      </c>
    </row>
    <row r="330" spans="1:2">
      <c r="A330" t="s">
        <v>108</v>
      </c>
      <c r="B330" t="s">
        <v>836</v>
      </c>
    </row>
    <row r="331" spans="1:2">
      <c r="A331" t="s">
        <v>17</v>
      </c>
      <c r="B331" t="s">
        <v>837</v>
      </c>
    </row>
    <row r="332" spans="1:2">
      <c r="A332" t="s">
        <v>105</v>
      </c>
      <c r="B332" t="s">
        <v>838</v>
      </c>
    </row>
    <row r="333" spans="1:2">
      <c r="A333" t="s">
        <v>16</v>
      </c>
      <c r="B333" t="s">
        <v>839</v>
      </c>
    </row>
    <row r="334" spans="1:2">
      <c r="A334" t="s">
        <v>104</v>
      </c>
      <c r="B334" t="s">
        <v>840</v>
      </c>
    </row>
    <row r="335" spans="1:2">
      <c r="A335" t="s">
        <v>14</v>
      </c>
      <c r="B335" t="s">
        <v>841</v>
      </c>
    </row>
    <row r="336" spans="1:2">
      <c r="A336" t="s">
        <v>102</v>
      </c>
      <c r="B336" t="s">
        <v>842</v>
      </c>
    </row>
    <row r="337" spans="1:2">
      <c r="A337" t="s">
        <v>204</v>
      </c>
      <c r="B337" t="s">
        <v>843</v>
      </c>
    </row>
    <row r="338" spans="1:2">
      <c r="A338" t="s">
        <v>203</v>
      </c>
      <c r="B338" t="s">
        <v>844</v>
      </c>
    </row>
    <row r="339" spans="1:2">
      <c r="A339" t="s">
        <v>202</v>
      </c>
      <c r="B339" t="s">
        <v>845</v>
      </c>
    </row>
    <row r="340" spans="1:2">
      <c r="A340" t="s">
        <v>201</v>
      </c>
      <c r="B340" t="s">
        <v>846</v>
      </c>
    </row>
    <row r="341" spans="1:2">
      <c r="A341" t="s">
        <v>200</v>
      </c>
      <c r="B341" t="s">
        <v>847</v>
      </c>
    </row>
    <row r="342" spans="1:2">
      <c r="A342" t="s">
        <v>33</v>
      </c>
      <c r="B342" t="s">
        <v>848</v>
      </c>
    </row>
    <row r="343" spans="1:2">
      <c r="A343" t="s">
        <v>121</v>
      </c>
      <c r="B343" t="s">
        <v>849</v>
      </c>
    </row>
    <row r="344" spans="1:2">
      <c r="A344" t="s">
        <v>199</v>
      </c>
      <c r="B344" t="s">
        <v>850</v>
      </c>
    </row>
    <row r="345" spans="1:2">
      <c r="A345" t="s">
        <v>30</v>
      </c>
      <c r="B345" t="s">
        <v>851</v>
      </c>
    </row>
    <row r="346" spans="1:2">
      <c r="A346" t="s">
        <v>118</v>
      </c>
      <c r="B346" t="s">
        <v>852</v>
      </c>
    </row>
    <row r="347" spans="1:2">
      <c r="A347" t="s">
        <v>198</v>
      </c>
      <c r="B347" t="s">
        <v>853</v>
      </c>
    </row>
    <row r="348" spans="1:2">
      <c r="A348" t="s">
        <v>197</v>
      </c>
      <c r="B348" t="s">
        <v>854</v>
      </c>
    </row>
    <row r="349" spans="1:2">
      <c r="A349" t="s">
        <v>32</v>
      </c>
      <c r="B349" t="s">
        <v>855</v>
      </c>
    </row>
    <row r="350" spans="1:2">
      <c r="A350" t="s">
        <v>120</v>
      </c>
      <c r="B350" t="s">
        <v>856</v>
      </c>
    </row>
    <row r="351" spans="1:2">
      <c r="A351" t="s">
        <v>31</v>
      </c>
      <c r="B351" t="s">
        <v>857</v>
      </c>
    </row>
    <row r="352" spans="1:2">
      <c r="A352" t="s">
        <v>119</v>
      </c>
      <c r="B352" t="s">
        <v>858</v>
      </c>
    </row>
    <row r="353" spans="1:2">
      <c r="A353" t="s">
        <v>62</v>
      </c>
      <c r="B353" t="s">
        <v>859</v>
      </c>
    </row>
    <row r="354" spans="1:2">
      <c r="A354" t="s">
        <v>150</v>
      </c>
      <c r="B354" t="s">
        <v>860</v>
      </c>
    </row>
    <row r="355" spans="1:2">
      <c r="A355" t="s">
        <v>57</v>
      </c>
      <c r="B355" t="s">
        <v>861</v>
      </c>
    </row>
    <row r="356" spans="1:2">
      <c r="A356" t="s">
        <v>145</v>
      </c>
      <c r="B356" t="s">
        <v>862</v>
      </c>
    </row>
    <row r="357" spans="1:2">
      <c r="A357" t="s">
        <v>457</v>
      </c>
      <c r="B357" t="s">
        <v>863</v>
      </c>
    </row>
    <row r="358" spans="1:2">
      <c r="A358" t="s">
        <v>196</v>
      </c>
      <c r="B358" t="s">
        <v>864</v>
      </c>
    </row>
    <row r="359" spans="1:2">
      <c r="A359" t="s">
        <v>195</v>
      </c>
      <c r="B359" t="s">
        <v>865</v>
      </c>
    </row>
    <row r="360" spans="1:2">
      <c r="A360" t="s">
        <v>194</v>
      </c>
      <c r="B360" t="s">
        <v>866</v>
      </c>
    </row>
    <row r="361" spans="1:2">
      <c r="A361" t="s">
        <v>193</v>
      </c>
      <c r="B361" t="s">
        <v>867</v>
      </c>
    </row>
    <row r="362" spans="1:2">
      <c r="A362" t="s">
        <v>8</v>
      </c>
      <c r="B362" t="s">
        <v>868</v>
      </c>
    </row>
    <row r="363" spans="1:2">
      <c r="A363" t="s">
        <v>96</v>
      </c>
      <c r="B363" t="s">
        <v>869</v>
      </c>
    </row>
    <row r="364" spans="1:2">
      <c r="A364" t="s">
        <v>192</v>
      </c>
      <c r="B364" t="s">
        <v>870</v>
      </c>
    </row>
    <row r="365" spans="1:2">
      <c r="A365" t="s">
        <v>191</v>
      </c>
      <c r="B365" t="s">
        <v>871</v>
      </c>
    </row>
    <row r="366" spans="1:2">
      <c r="A366" t="s">
        <v>29</v>
      </c>
      <c r="B366" t="s">
        <v>872</v>
      </c>
    </row>
    <row r="367" spans="1:2">
      <c r="A367" t="s">
        <v>117</v>
      </c>
      <c r="B367" t="s">
        <v>873</v>
      </c>
    </row>
    <row r="368" spans="1:2">
      <c r="A368" t="s">
        <v>190</v>
      </c>
      <c r="B368" t="s">
        <v>874</v>
      </c>
    </row>
    <row r="369" spans="1:2">
      <c r="A369" t="s">
        <v>189</v>
      </c>
      <c r="B369" t="s">
        <v>875</v>
      </c>
    </row>
    <row r="370" spans="1:2">
      <c r="A370" t="s">
        <v>23</v>
      </c>
      <c r="B370" t="s">
        <v>876</v>
      </c>
    </row>
    <row r="371" spans="1:2">
      <c r="A371" t="s">
        <v>111</v>
      </c>
      <c r="B371" t="s">
        <v>877</v>
      </c>
    </row>
    <row r="372" spans="1:2">
      <c r="A372" t="s">
        <v>22</v>
      </c>
      <c r="B372" t="s">
        <v>878</v>
      </c>
    </row>
    <row r="373" spans="1:2">
      <c r="A373" t="s">
        <v>110</v>
      </c>
      <c r="B373" t="s">
        <v>879</v>
      </c>
    </row>
    <row r="374" spans="1:2">
      <c r="A374" t="s">
        <v>19</v>
      </c>
      <c r="B374" t="s">
        <v>880</v>
      </c>
    </row>
    <row r="375" spans="1:2">
      <c r="A375" t="s">
        <v>107</v>
      </c>
      <c r="B375" t="s">
        <v>881</v>
      </c>
    </row>
    <row r="376" spans="1:2">
      <c r="A376" t="s">
        <v>188</v>
      </c>
      <c r="B376" t="s">
        <v>882</v>
      </c>
    </row>
    <row r="377" spans="1:2">
      <c r="A377" t="s">
        <v>187</v>
      </c>
      <c r="B377" t="s">
        <v>883</v>
      </c>
    </row>
    <row r="378" spans="1:2">
      <c r="A378" t="s">
        <v>18</v>
      </c>
      <c r="B378" t="s">
        <v>884</v>
      </c>
    </row>
    <row r="379" spans="1:2">
      <c r="A379" t="s">
        <v>106</v>
      </c>
      <c r="B379" t="s">
        <v>885</v>
      </c>
    </row>
    <row r="380" spans="1:2">
      <c r="A380" t="s">
        <v>186</v>
      </c>
      <c r="B380" t="s">
        <v>886</v>
      </c>
    </row>
    <row r="381" spans="1:2">
      <c r="A381" t="s">
        <v>185</v>
      </c>
      <c r="B381" t="s">
        <v>887</v>
      </c>
    </row>
    <row r="382" spans="1:2">
      <c r="A382" t="s">
        <v>184</v>
      </c>
      <c r="B382" t="s">
        <v>888</v>
      </c>
    </row>
    <row r="383" spans="1:2">
      <c r="A383" t="s">
        <v>183</v>
      </c>
      <c r="B383" t="s">
        <v>889</v>
      </c>
    </row>
    <row r="384" spans="1:2">
      <c r="A384" t="s">
        <v>15</v>
      </c>
      <c r="B384" t="s">
        <v>890</v>
      </c>
    </row>
    <row r="385" spans="1:2">
      <c r="A385" t="s">
        <v>103</v>
      </c>
      <c r="B385" t="s">
        <v>891</v>
      </c>
    </row>
    <row r="386" spans="1:2">
      <c r="A386" t="s">
        <v>182</v>
      </c>
      <c r="B386" t="s">
        <v>892</v>
      </c>
    </row>
    <row r="387" spans="1:2">
      <c r="A387" t="s">
        <v>13</v>
      </c>
      <c r="B387" t="s">
        <v>893</v>
      </c>
    </row>
    <row r="388" spans="1:2">
      <c r="A388" t="s">
        <v>101</v>
      </c>
      <c r="B388" t="s">
        <v>894</v>
      </c>
    </row>
    <row r="389" spans="1:2">
      <c r="A389" t="s">
        <v>459</v>
      </c>
      <c r="B389" t="s">
        <v>895</v>
      </c>
    </row>
    <row r="390" spans="1:2">
      <c r="A390" t="s">
        <v>12</v>
      </c>
      <c r="B390" t="s">
        <v>896</v>
      </c>
    </row>
    <row r="391" spans="1:2">
      <c r="A391" t="s">
        <v>100</v>
      </c>
      <c r="B391" t="s">
        <v>897</v>
      </c>
    </row>
    <row r="392" spans="1:2">
      <c r="A392" t="s">
        <v>11</v>
      </c>
      <c r="B392" t="s">
        <v>898</v>
      </c>
    </row>
    <row r="393" spans="1:2">
      <c r="A393" t="s">
        <v>99</v>
      </c>
      <c r="B393" t="s">
        <v>899</v>
      </c>
    </row>
    <row r="394" spans="1:2">
      <c r="A394" t="s">
        <v>10</v>
      </c>
      <c r="B394" t="s">
        <v>900</v>
      </c>
    </row>
    <row r="395" spans="1:2">
      <c r="A395" t="s">
        <v>98</v>
      </c>
      <c r="B395" t="s">
        <v>901</v>
      </c>
    </row>
    <row r="396" spans="1:2">
      <c r="A396" t="s">
        <v>9</v>
      </c>
      <c r="B396" t="s">
        <v>902</v>
      </c>
    </row>
    <row r="397" spans="1:2">
      <c r="A397" t="s">
        <v>97</v>
      </c>
      <c r="B397" t="s">
        <v>903</v>
      </c>
    </row>
    <row r="398" spans="1:2">
      <c r="A398" t="s">
        <v>479</v>
      </c>
      <c r="B398" t="s">
        <v>904</v>
      </c>
    </row>
    <row r="399" spans="1:2">
      <c r="A399" t="s">
        <v>480</v>
      </c>
      <c r="B399" t="s">
        <v>905</v>
      </c>
    </row>
    <row r="400" spans="1:2">
      <c r="A400" t="s">
        <v>478</v>
      </c>
      <c r="B400" t="s">
        <v>906</v>
      </c>
    </row>
    <row r="401" spans="1:2">
      <c r="A401" t="s">
        <v>481</v>
      </c>
      <c r="B401" t="s">
        <v>907</v>
      </c>
    </row>
    <row r="402" spans="1:2">
      <c r="A402" t="s">
        <v>484</v>
      </c>
      <c r="B402" t="s">
        <v>908</v>
      </c>
    </row>
    <row r="403" spans="1:2">
      <c r="A403" t="s">
        <v>485</v>
      </c>
      <c r="B403" t="s">
        <v>909</v>
      </c>
    </row>
    <row r="404" spans="1:2">
      <c r="A404" t="s">
        <v>482</v>
      </c>
      <c r="B404" t="s">
        <v>910</v>
      </c>
    </row>
    <row r="405" spans="1:2">
      <c r="A405" t="s">
        <v>483</v>
      </c>
      <c r="B405" t="s">
        <v>911</v>
      </c>
    </row>
    <row r="406" spans="1:2">
      <c r="A406" t="s">
        <v>486</v>
      </c>
      <c r="B406" t="s">
        <v>912</v>
      </c>
    </row>
    <row r="407" spans="1:2">
      <c r="A407" t="s">
        <v>487</v>
      </c>
      <c r="B407" t="s">
        <v>913</v>
      </c>
    </row>
    <row r="408" spans="1:2">
      <c r="A408" t="s">
        <v>488</v>
      </c>
      <c r="B408" t="s">
        <v>914</v>
      </c>
    </row>
    <row r="409" spans="1:2">
      <c r="A409" t="s">
        <v>489</v>
      </c>
      <c r="B409" t="s">
        <v>915</v>
      </c>
    </row>
    <row r="410" spans="1:2">
      <c r="A410" t="s">
        <v>55</v>
      </c>
      <c r="B410" t="s">
        <v>916</v>
      </c>
    </row>
    <row r="411" spans="1:2">
      <c r="A411" t="s">
        <v>143</v>
      </c>
      <c r="B411" t="s">
        <v>917</v>
      </c>
    </row>
    <row r="412" spans="1:2">
      <c r="A412" t="s">
        <v>56</v>
      </c>
      <c r="B412" t="s">
        <v>916</v>
      </c>
    </row>
    <row r="413" spans="1:2">
      <c r="A413" t="s">
        <v>144</v>
      </c>
      <c r="B413" t="s">
        <v>917</v>
      </c>
    </row>
    <row r="414" spans="1:2">
      <c r="A414" t="s">
        <v>43</v>
      </c>
      <c r="B414" t="s">
        <v>918</v>
      </c>
    </row>
    <row r="415" spans="1:2">
      <c r="A415" t="s">
        <v>131</v>
      </c>
      <c r="B415" t="s">
        <v>919</v>
      </c>
    </row>
    <row r="416" spans="1:2">
      <c r="A416" t="s">
        <v>181</v>
      </c>
      <c r="B416" t="s">
        <v>920</v>
      </c>
    </row>
    <row r="417" spans="1:2">
      <c r="A417" t="s">
        <v>4</v>
      </c>
      <c r="B417" t="s">
        <v>921</v>
      </c>
    </row>
    <row r="418" spans="1:2">
      <c r="A418" t="s">
        <v>92</v>
      </c>
      <c r="B418" t="s">
        <v>922</v>
      </c>
    </row>
    <row r="419" spans="1:2">
      <c r="A419" t="s">
        <v>180</v>
      </c>
      <c r="B419" t="s">
        <v>923</v>
      </c>
    </row>
    <row r="420" spans="1:2">
      <c r="A420" t="s">
        <v>5</v>
      </c>
      <c r="B420" t="s">
        <v>924</v>
      </c>
    </row>
    <row r="421" spans="1:2">
      <c r="A421" t="s">
        <v>93</v>
      </c>
      <c r="B421" t="s">
        <v>925</v>
      </c>
    </row>
    <row r="422" spans="1:2">
      <c r="A422" t="s">
        <v>1</v>
      </c>
      <c r="B422" t="s">
        <v>926</v>
      </c>
    </row>
    <row r="423" spans="1:2">
      <c r="A423" t="s">
        <v>89</v>
      </c>
      <c r="B423" t="s">
        <v>927</v>
      </c>
    </row>
    <row r="424" spans="1:2">
      <c r="A424" t="s">
        <v>179</v>
      </c>
      <c r="B424" t="s">
        <v>928</v>
      </c>
    </row>
    <row r="425" spans="1:2">
      <c r="A425" t="s">
        <v>178</v>
      </c>
      <c r="B425" t="s">
        <v>501</v>
      </c>
    </row>
    <row r="426" spans="1:2">
      <c r="A426" t="s">
        <v>500</v>
      </c>
      <c r="B426" t="s">
        <v>501</v>
      </c>
    </row>
    <row r="427" spans="1:2">
      <c r="A427" t="s">
        <v>177</v>
      </c>
      <c r="B427" t="s">
        <v>929</v>
      </c>
    </row>
    <row r="428" spans="1:2">
      <c r="A428" t="s">
        <v>303</v>
      </c>
      <c r="B428" t="s">
        <v>615</v>
      </c>
    </row>
    <row r="429" spans="1:2">
      <c r="A429" t="s">
        <v>491</v>
      </c>
      <c r="B429" t="s">
        <v>491</v>
      </c>
    </row>
  </sheetData>
  <autoFilter ref="A2:B2" xr:uid="{2A774EB2-D080-42B2-821E-786B58B52901}"/>
  <conditionalFormatting sqref="A1:A2 A4:A1048576">
    <cfRule type="containsText" dxfId="21" priority="27" operator="containsText" text="_cam_">
      <formula>NOT(ISERROR(SEARCH("_cam_",A1)))</formula>
    </cfRule>
  </conditionalFormatting>
  <conditionalFormatting sqref="B2:C2">
    <cfRule type="containsText" dxfId="20" priority="4" operator="containsText" text="_cam_">
      <formula>NOT(ISERROR(SEARCH("_cam_",B2)))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8C44-D16B-44F1-B10C-A51678322B0F}">
  <dimension ref="A1:E35"/>
  <sheetViews>
    <sheetView tabSelected="1" workbookViewId="0">
      <selection activeCell="D9" sqref="D9"/>
    </sheetView>
  </sheetViews>
  <sheetFormatPr defaultRowHeight="14.25"/>
  <cols>
    <col min="1" max="1" width="51" style="14" customWidth="1"/>
    <col min="2" max="2" width="25.25" customWidth="1"/>
    <col min="3" max="3" width="16.75" customWidth="1"/>
    <col min="4" max="4" width="15.375" customWidth="1"/>
  </cols>
  <sheetData>
    <row r="1" spans="1:5" ht="15">
      <c r="A1" s="13" t="s">
        <v>330</v>
      </c>
      <c r="B1" s="11" t="s">
        <v>282</v>
      </c>
      <c r="C1" s="11"/>
      <c r="D1">
        <f>COUNTA(A:A)</f>
        <v>31</v>
      </c>
    </row>
    <row r="2" spans="1:5" ht="15">
      <c r="A2" s="13" t="s">
        <v>491</v>
      </c>
      <c r="B2" s="11" t="s">
        <v>491</v>
      </c>
      <c r="C2" s="11"/>
    </row>
    <row r="3" spans="1:5">
      <c r="A3" s="14" t="s">
        <v>506</v>
      </c>
      <c r="B3" t="s">
        <v>505</v>
      </c>
      <c r="D3" t="s">
        <v>1237</v>
      </c>
      <c r="E3" t="s">
        <v>1239</v>
      </c>
    </row>
    <row r="4" spans="1:5">
      <c r="A4" s="14" t="s">
        <v>508</v>
      </c>
      <c r="B4" s="14" t="s">
        <v>507</v>
      </c>
      <c r="D4" t="s">
        <v>1238</v>
      </c>
      <c r="E4" t="s">
        <v>1240</v>
      </c>
    </row>
    <row r="5" spans="1:5">
      <c r="A5" s="14" t="s">
        <v>510</v>
      </c>
      <c r="B5" t="s">
        <v>509</v>
      </c>
    </row>
    <row r="6" spans="1:5">
      <c r="A6" s="14" t="s">
        <v>512</v>
      </c>
      <c r="B6" t="s">
        <v>511</v>
      </c>
    </row>
    <row r="7" spans="1:5">
      <c r="A7" s="14" t="s">
        <v>514</v>
      </c>
      <c r="B7" t="s">
        <v>513</v>
      </c>
    </row>
    <row r="8" spans="1:5">
      <c r="A8" s="14" t="s">
        <v>516</v>
      </c>
      <c r="B8" t="s">
        <v>515</v>
      </c>
    </row>
    <row r="9" spans="1:5">
      <c r="A9" s="14" t="s">
        <v>1206</v>
      </c>
      <c r="B9" t="s">
        <v>517</v>
      </c>
    </row>
    <row r="10" spans="1:5">
      <c r="A10" s="14" t="s">
        <v>519</v>
      </c>
      <c r="B10" t="s">
        <v>518</v>
      </c>
    </row>
    <row r="11" spans="1:5">
      <c r="A11" s="14" t="s">
        <v>521</v>
      </c>
      <c r="B11" t="s">
        <v>520</v>
      </c>
    </row>
    <row r="12" spans="1:5">
      <c r="A12" s="14" t="s">
        <v>1040</v>
      </c>
      <c r="B12" t="s">
        <v>1041</v>
      </c>
    </row>
    <row r="13" spans="1:5">
      <c r="A13" s="14" t="s">
        <v>523</v>
      </c>
      <c r="B13" t="s">
        <v>1017</v>
      </c>
    </row>
    <row r="14" spans="1:5">
      <c r="A14" s="14" t="s">
        <v>1020</v>
      </c>
      <c r="B14" t="s">
        <v>505</v>
      </c>
    </row>
    <row r="15" spans="1:5">
      <c r="A15" s="14" t="s">
        <v>1026</v>
      </c>
      <c r="B15" t="s">
        <v>507</v>
      </c>
    </row>
    <row r="16" spans="1:5">
      <c r="A16" s="14" t="s">
        <v>1027</v>
      </c>
      <c r="B16" t="s">
        <v>509</v>
      </c>
    </row>
    <row r="17" spans="1:2">
      <c r="A17" s="14" t="s">
        <v>1028</v>
      </c>
      <c r="B17" t="s">
        <v>511</v>
      </c>
    </row>
    <row r="18" spans="1:2">
      <c r="A18" s="14" t="s">
        <v>1029</v>
      </c>
      <c r="B18" t="s">
        <v>513</v>
      </c>
    </row>
    <row r="19" spans="1:2">
      <c r="A19" s="14" t="s">
        <v>1030</v>
      </c>
      <c r="B19" t="s">
        <v>515</v>
      </c>
    </row>
    <row r="20" spans="1:2">
      <c r="A20" s="14" t="s">
        <v>1021</v>
      </c>
      <c r="B20" t="s">
        <v>517</v>
      </c>
    </row>
    <row r="21" spans="1:2">
      <c r="A21" s="14" t="s">
        <v>1022</v>
      </c>
      <c r="B21" t="s">
        <v>518</v>
      </c>
    </row>
    <row r="22" spans="1:2">
      <c r="A22" s="14" t="s">
        <v>1023</v>
      </c>
      <c r="B22" t="s">
        <v>520</v>
      </c>
    </row>
    <row r="23" spans="1:2">
      <c r="A23" s="14" t="s">
        <v>1024</v>
      </c>
      <c r="B23" t="s">
        <v>522</v>
      </c>
    </row>
    <row r="24" spans="1:2">
      <c r="A24" s="14" t="s">
        <v>1025</v>
      </c>
      <c r="B24" t="s">
        <v>1017</v>
      </c>
    </row>
    <row r="25" spans="1:2">
      <c r="A25" s="14" t="s">
        <v>1223</v>
      </c>
      <c r="B25" t="s">
        <v>1224</v>
      </c>
    </row>
    <row r="26" spans="1:2">
      <c r="A26" s="14" t="s">
        <v>1225</v>
      </c>
      <c r="B26" t="s">
        <v>1226</v>
      </c>
    </row>
    <row r="27" spans="1:2">
      <c r="A27" s="14" t="s">
        <v>1227</v>
      </c>
      <c r="B27" t="s">
        <v>1228</v>
      </c>
    </row>
    <row r="28" spans="1:2">
      <c r="A28" s="14" t="s">
        <v>1229</v>
      </c>
      <c r="B28" t="s">
        <v>1230</v>
      </c>
    </row>
    <row r="29" spans="1:2">
      <c r="A29" t="s">
        <v>1222</v>
      </c>
      <c r="B29" t="s">
        <v>932</v>
      </c>
    </row>
    <row r="30" spans="1:2">
      <c r="A30" s="16" t="s">
        <v>1235</v>
      </c>
      <c r="B30" s="16" t="s">
        <v>1236</v>
      </c>
    </row>
    <row r="31" spans="1:2">
      <c r="A31" s="14" t="s">
        <v>491</v>
      </c>
      <c r="B31" t="s">
        <v>491</v>
      </c>
    </row>
    <row r="35" spans="1:2">
      <c r="A35" s="16"/>
      <c r="B35" s="16"/>
    </row>
  </sheetData>
  <conditionalFormatting sqref="A2">
    <cfRule type="containsText" dxfId="19" priority="10" operator="containsText" text="_cam_">
      <formula>NOT(ISERROR(SEARCH("_cam_",A2)))</formula>
    </cfRule>
  </conditionalFormatting>
  <conditionalFormatting sqref="A2:C2">
    <cfRule type="containsText" dxfId="18" priority="9" operator="containsText" text="_cam_">
      <formula>NOT(ISERROR(SEARCH("_cam_",A2)))</formula>
    </cfRule>
  </conditionalFormatting>
  <conditionalFormatting sqref="B2:C2">
    <cfRule type="containsText" dxfId="17" priority="7" operator="containsText" text="_cam_">
      <formula>NOT(ISERROR(SEARCH("_cam_",B2)))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C568E-B2AE-4B98-A8BC-70D76639A4C7}">
  <dimension ref="A1:L76"/>
  <sheetViews>
    <sheetView topLeftCell="A51" workbookViewId="0">
      <selection activeCell="A74" sqref="A74:XFD74"/>
    </sheetView>
  </sheetViews>
  <sheetFormatPr defaultRowHeight="14.25"/>
  <cols>
    <col min="1" max="1" width="80.625" style="19" customWidth="1"/>
    <col min="2" max="2" width="33.5" style="19" customWidth="1"/>
    <col min="5" max="5" width="13" customWidth="1"/>
    <col min="6" max="6" width="4.125" bestFit="1" customWidth="1"/>
    <col min="7" max="7" width="2.5" bestFit="1" customWidth="1"/>
    <col min="8" max="8" width="2.875" bestFit="1" customWidth="1"/>
    <col min="9" max="9" width="1.875" bestFit="1" customWidth="1"/>
    <col min="10" max="11" width="19.25" customWidth="1"/>
    <col min="12" max="12" width="56.75" customWidth="1"/>
    <col min="13" max="17" width="19.25" customWidth="1"/>
  </cols>
  <sheetData>
    <row r="1" spans="1:5" ht="15">
      <c r="A1" s="18" t="s">
        <v>330</v>
      </c>
      <c r="B1" s="18" t="s">
        <v>282</v>
      </c>
      <c r="D1">
        <f>COUNTA(A:A)</f>
        <v>74</v>
      </c>
    </row>
    <row r="2" spans="1:5" ht="15">
      <c r="A2" s="18" t="s">
        <v>491</v>
      </c>
      <c r="B2" s="18" t="s">
        <v>491</v>
      </c>
      <c r="C2" t="s">
        <v>965</v>
      </c>
      <c r="E2" s="17"/>
    </row>
    <row r="3" spans="1:5">
      <c r="A3" s="19" t="s">
        <v>964</v>
      </c>
      <c r="B3" s="19" t="s">
        <v>932</v>
      </c>
      <c r="C3" t="s">
        <v>965</v>
      </c>
      <c r="D3" t="s">
        <v>1064</v>
      </c>
      <c r="E3" s="15" t="s">
        <v>1066</v>
      </c>
    </row>
    <row r="4" spans="1:5">
      <c r="A4" s="19" t="s">
        <v>972</v>
      </c>
      <c r="B4" s="19" t="s">
        <v>963</v>
      </c>
      <c r="C4" t="s">
        <v>965</v>
      </c>
      <c r="D4" t="s">
        <v>1065</v>
      </c>
      <c r="E4" s="17" t="s">
        <v>1067</v>
      </c>
    </row>
    <row r="5" spans="1:5">
      <c r="A5" s="19" t="s">
        <v>931</v>
      </c>
      <c r="B5" s="19" t="s">
        <v>942</v>
      </c>
      <c r="C5" t="s">
        <v>965</v>
      </c>
    </row>
    <row r="6" spans="1:5">
      <c r="A6" s="19" t="s">
        <v>930</v>
      </c>
      <c r="B6" s="19" t="s">
        <v>942</v>
      </c>
      <c r="C6" t="s">
        <v>965</v>
      </c>
    </row>
    <row r="7" spans="1:5">
      <c r="A7" s="19" t="s">
        <v>980</v>
      </c>
      <c r="B7" s="19" t="s">
        <v>942</v>
      </c>
      <c r="C7" t="s">
        <v>965</v>
      </c>
    </row>
    <row r="8" spans="1:5">
      <c r="A8" s="19" t="s">
        <v>933</v>
      </c>
      <c r="B8" s="19" t="s">
        <v>934</v>
      </c>
      <c r="C8" t="s">
        <v>965</v>
      </c>
    </row>
    <row r="9" spans="1:5">
      <c r="A9" s="19" t="s">
        <v>935</v>
      </c>
      <c r="B9" s="19" t="s">
        <v>934</v>
      </c>
      <c r="C9" t="s">
        <v>965</v>
      </c>
    </row>
    <row r="10" spans="1:5">
      <c r="A10" s="19" t="s">
        <v>981</v>
      </c>
      <c r="B10" s="19" t="s">
        <v>934</v>
      </c>
      <c r="C10" t="s">
        <v>965</v>
      </c>
    </row>
    <row r="11" spans="1:5">
      <c r="A11" s="19" t="s">
        <v>936</v>
      </c>
      <c r="B11" s="19" t="s">
        <v>937</v>
      </c>
      <c r="C11" t="s">
        <v>965</v>
      </c>
      <c r="E11" s="15"/>
    </row>
    <row r="12" spans="1:5">
      <c r="A12" s="19" t="s">
        <v>979</v>
      </c>
      <c r="B12" s="19" t="s">
        <v>937</v>
      </c>
      <c r="C12" t="s">
        <v>965</v>
      </c>
      <c r="E12" s="15"/>
    </row>
    <row r="13" spans="1:5">
      <c r="A13" s="19" t="s">
        <v>938</v>
      </c>
      <c r="B13" s="19" t="s">
        <v>937</v>
      </c>
      <c r="C13" t="s">
        <v>965</v>
      </c>
      <c r="E13" s="15"/>
    </row>
    <row r="14" spans="1:5">
      <c r="A14" s="19" t="s">
        <v>939</v>
      </c>
      <c r="B14" s="19" t="s">
        <v>940</v>
      </c>
      <c r="C14" t="s">
        <v>965</v>
      </c>
      <c r="E14" s="15"/>
    </row>
    <row r="15" spans="1:5">
      <c r="A15" s="19" t="s">
        <v>941</v>
      </c>
      <c r="B15" s="19" t="s">
        <v>940</v>
      </c>
      <c r="C15" t="s">
        <v>965</v>
      </c>
      <c r="E15" s="15"/>
    </row>
    <row r="16" spans="1:5">
      <c r="A16" s="19" t="s">
        <v>943</v>
      </c>
      <c r="B16" s="19" t="s">
        <v>944</v>
      </c>
      <c r="C16" t="s">
        <v>965</v>
      </c>
      <c r="E16" s="15"/>
    </row>
    <row r="17" spans="1:12">
      <c r="A17" s="19" t="s">
        <v>948</v>
      </c>
      <c r="B17" s="19" t="s">
        <v>944</v>
      </c>
      <c r="C17" t="s">
        <v>965</v>
      </c>
      <c r="E17" s="15"/>
    </row>
    <row r="18" spans="1:12">
      <c r="A18" s="19" t="s">
        <v>945</v>
      </c>
      <c r="B18" s="19" t="s">
        <v>946</v>
      </c>
      <c r="C18" t="s">
        <v>965</v>
      </c>
      <c r="E18" s="15"/>
    </row>
    <row r="19" spans="1:12">
      <c r="A19" s="19" t="s">
        <v>947</v>
      </c>
      <c r="B19" s="19" t="s">
        <v>946</v>
      </c>
      <c r="C19" t="s">
        <v>965</v>
      </c>
      <c r="E19" s="15"/>
    </row>
    <row r="20" spans="1:12">
      <c r="A20" s="19" t="s">
        <v>949</v>
      </c>
      <c r="B20" s="19" t="s">
        <v>950</v>
      </c>
      <c r="C20" t="s">
        <v>965</v>
      </c>
      <c r="E20" s="15"/>
    </row>
    <row r="21" spans="1:12">
      <c r="A21" s="19" t="s">
        <v>959</v>
      </c>
      <c r="B21" s="19" t="s">
        <v>958</v>
      </c>
      <c r="C21" t="s">
        <v>965</v>
      </c>
      <c r="D21" s="16"/>
      <c r="E21" s="15"/>
    </row>
    <row r="22" spans="1:12">
      <c r="A22" s="19" t="s">
        <v>960</v>
      </c>
      <c r="B22" s="19" t="s">
        <v>958</v>
      </c>
      <c r="C22" t="s">
        <v>965</v>
      </c>
      <c r="E22" s="15"/>
    </row>
    <row r="23" spans="1:12">
      <c r="A23" s="19" t="s">
        <v>951</v>
      </c>
      <c r="B23" s="19" t="s">
        <v>952</v>
      </c>
      <c r="C23" t="s">
        <v>965</v>
      </c>
      <c r="E23" s="15"/>
    </row>
    <row r="24" spans="1:12">
      <c r="A24" s="20" t="s">
        <v>953</v>
      </c>
      <c r="B24" s="19" t="s">
        <v>954</v>
      </c>
      <c r="C24" t="s">
        <v>965</v>
      </c>
      <c r="L24" s="15"/>
    </row>
    <row r="25" spans="1:12">
      <c r="A25" s="19" t="s">
        <v>955</v>
      </c>
      <c r="B25" s="19" t="s">
        <v>954</v>
      </c>
      <c r="C25" t="s">
        <v>965</v>
      </c>
      <c r="L25" s="15"/>
    </row>
    <row r="26" spans="1:12">
      <c r="A26" s="19" t="s">
        <v>956</v>
      </c>
      <c r="B26" s="21" t="s">
        <v>957</v>
      </c>
      <c r="C26" t="s">
        <v>965</v>
      </c>
      <c r="L26" s="15"/>
    </row>
    <row r="27" spans="1:12">
      <c r="A27" s="19" t="s">
        <v>962</v>
      </c>
      <c r="B27" s="21" t="s">
        <v>957</v>
      </c>
      <c r="C27" t="s">
        <v>965</v>
      </c>
      <c r="L27" s="15"/>
    </row>
    <row r="28" spans="1:12">
      <c r="A28" s="19" t="s">
        <v>961</v>
      </c>
      <c r="B28" s="21" t="s">
        <v>957</v>
      </c>
      <c r="C28" t="s">
        <v>965</v>
      </c>
      <c r="L28" s="15"/>
    </row>
    <row r="29" spans="1:12">
      <c r="A29" s="19" t="s">
        <v>985</v>
      </c>
      <c r="B29" s="19" t="s">
        <v>986</v>
      </c>
      <c r="C29" t="s">
        <v>965</v>
      </c>
      <c r="L29" s="15"/>
    </row>
    <row r="30" spans="1:12">
      <c r="A30" s="19" t="s">
        <v>972</v>
      </c>
      <c r="B30" s="19" t="s">
        <v>963</v>
      </c>
      <c r="C30" t="s">
        <v>965</v>
      </c>
      <c r="L30" s="15"/>
    </row>
    <row r="31" spans="1:12">
      <c r="A31" s="20" t="s">
        <v>973</v>
      </c>
      <c r="B31" s="20" t="s">
        <v>974</v>
      </c>
      <c r="C31" t="s">
        <v>965</v>
      </c>
      <c r="L31" s="17"/>
    </row>
    <row r="32" spans="1:12">
      <c r="A32" s="20" t="s">
        <v>975</v>
      </c>
      <c r="B32" s="19" t="s">
        <v>976</v>
      </c>
      <c r="C32" t="s">
        <v>965</v>
      </c>
    </row>
    <row r="33" spans="1:12">
      <c r="A33" s="19" t="s">
        <v>977</v>
      </c>
      <c r="B33" s="19" t="s">
        <v>978</v>
      </c>
      <c r="C33" t="s">
        <v>965</v>
      </c>
      <c r="L33" s="15"/>
    </row>
    <row r="34" spans="1:12">
      <c r="A34" s="19" t="s">
        <v>983</v>
      </c>
      <c r="B34" s="20" t="s">
        <v>982</v>
      </c>
      <c r="C34" t="s">
        <v>965</v>
      </c>
    </row>
    <row r="35" spans="1:12">
      <c r="A35" s="19" t="s">
        <v>984</v>
      </c>
      <c r="B35" s="20" t="s">
        <v>982</v>
      </c>
      <c r="C35" t="s">
        <v>965</v>
      </c>
      <c r="L35" s="15"/>
    </row>
    <row r="36" spans="1:12">
      <c r="A36" s="19" t="s">
        <v>1034</v>
      </c>
      <c r="B36" s="19" t="s">
        <v>1033</v>
      </c>
      <c r="C36" t="s">
        <v>965</v>
      </c>
      <c r="L36" s="15"/>
    </row>
    <row r="37" spans="1:12">
      <c r="A37" s="19" t="s">
        <v>989</v>
      </c>
      <c r="B37" s="19" t="s">
        <v>990</v>
      </c>
      <c r="C37" t="s">
        <v>965</v>
      </c>
      <c r="L37" s="15"/>
    </row>
    <row r="38" spans="1:12">
      <c r="A38" s="19" t="s">
        <v>1031</v>
      </c>
      <c r="B38" s="19" t="s">
        <v>1033</v>
      </c>
      <c r="C38" t="s">
        <v>965</v>
      </c>
      <c r="L38" s="15"/>
    </row>
    <row r="39" spans="1:12">
      <c r="A39" s="19" t="s">
        <v>1032</v>
      </c>
      <c r="B39" s="19" t="s">
        <v>1033</v>
      </c>
      <c r="C39" t="s">
        <v>965</v>
      </c>
      <c r="L39" s="15"/>
    </row>
    <row r="40" spans="1:12" ht="13.5" customHeight="1">
      <c r="A40" s="19" t="s">
        <v>991</v>
      </c>
      <c r="B40" s="19" t="s">
        <v>990</v>
      </c>
      <c r="C40" t="s">
        <v>965</v>
      </c>
      <c r="L40" s="15"/>
    </row>
    <row r="41" spans="1:12">
      <c r="A41" s="19" t="s">
        <v>992</v>
      </c>
      <c r="B41" s="19" t="s">
        <v>990</v>
      </c>
      <c r="C41" t="s">
        <v>965</v>
      </c>
      <c r="L41" s="17"/>
    </row>
    <row r="42" spans="1:12">
      <c r="A42" s="15" t="s">
        <v>987</v>
      </c>
      <c r="B42" s="15" t="s">
        <v>988</v>
      </c>
      <c r="C42" t="s">
        <v>965</v>
      </c>
      <c r="L42" s="17"/>
    </row>
    <row r="43" spans="1:12">
      <c r="A43" s="19" t="s">
        <v>993</v>
      </c>
      <c r="B43" s="19" t="s">
        <v>994</v>
      </c>
      <c r="C43" t="s">
        <v>965</v>
      </c>
      <c r="L43" s="17"/>
    </row>
    <row r="44" spans="1:12">
      <c r="A44" s="19" t="s">
        <v>995</v>
      </c>
      <c r="B44" s="19" t="s">
        <v>996</v>
      </c>
      <c r="C44" t="s">
        <v>965</v>
      </c>
      <c r="L44" s="17"/>
    </row>
    <row r="45" spans="1:12">
      <c r="A45" s="19" t="s">
        <v>997</v>
      </c>
      <c r="B45" s="19" t="s">
        <v>996</v>
      </c>
      <c r="C45" t="s">
        <v>965</v>
      </c>
      <c r="L45" s="17"/>
    </row>
    <row r="46" spans="1:12" s="19" customFormat="1">
      <c r="A46" s="19" t="s">
        <v>998</v>
      </c>
      <c r="B46" s="19" t="s">
        <v>999</v>
      </c>
      <c r="C46" t="s">
        <v>965</v>
      </c>
    </row>
    <row r="47" spans="1:12">
      <c r="A47" s="19" t="s">
        <v>1000</v>
      </c>
      <c r="B47" s="19" t="s">
        <v>999</v>
      </c>
      <c r="C47" t="s">
        <v>965</v>
      </c>
      <c r="L47" s="17"/>
    </row>
    <row r="48" spans="1:12">
      <c r="A48" s="19" t="s">
        <v>1004</v>
      </c>
      <c r="B48" s="19" t="s">
        <v>1005</v>
      </c>
      <c r="C48" t="s">
        <v>965</v>
      </c>
      <c r="L48" s="17"/>
    </row>
    <row r="49" spans="1:12">
      <c r="A49" s="19" t="s">
        <v>1006</v>
      </c>
      <c r="B49" s="19" t="s">
        <v>1007</v>
      </c>
      <c r="C49" t="s">
        <v>965</v>
      </c>
      <c r="L49" s="17"/>
    </row>
    <row r="50" spans="1:12">
      <c r="A50" s="19" t="s">
        <v>1001</v>
      </c>
      <c r="B50" s="19" t="s">
        <v>1002</v>
      </c>
      <c r="C50" t="s">
        <v>965</v>
      </c>
    </row>
    <row r="51" spans="1:12">
      <c r="A51" s="19" t="s">
        <v>1003</v>
      </c>
      <c r="B51" s="19" t="s">
        <v>1002</v>
      </c>
      <c r="C51" t="s">
        <v>965</v>
      </c>
    </row>
    <row r="52" spans="1:12">
      <c r="A52" s="19" t="s">
        <v>963</v>
      </c>
      <c r="B52" s="19" t="s">
        <v>964</v>
      </c>
      <c r="C52" t="s">
        <v>965</v>
      </c>
    </row>
    <row r="53" spans="1:12">
      <c r="A53" s="19" t="s">
        <v>1053</v>
      </c>
      <c r="B53" s="19" t="s">
        <v>1054</v>
      </c>
      <c r="C53" t="s">
        <v>965</v>
      </c>
    </row>
    <row r="54" spans="1:12">
      <c r="A54" s="19" t="s">
        <v>1055</v>
      </c>
      <c r="B54" s="19" t="s">
        <v>1056</v>
      </c>
      <c r="C54" t="s">
        <v>965</v>
      </c>
    </row>
    <row r="55" spans="1:12">
      <c r="A55" s="19" t="s">
        <v>1057</v>
      </c>
      <c r="B55" s="19" t="s">
        <v>1058</v>
      </c>
      <c r="C55" t="s">
        <v>965</v>
      </c>
    </row>
    <row r="56" spans="1:12">
      <c r="A56" s="19" t="s">
        <v>1059</v>
      </c>
      <c r="B56" s="19" t="s">
        <v>1060</v>
      </c>
      <c r="C56" t="s">
        <v>965</v>
      </c>
    </row>
    <row r="57" spans="1:12">
      <c r="A57" s="19" t="s">
        <v>1060</v>
      </c>
      <c r="B57" s="19" t="s">
        <v>1061</v>
      </c>
      <c r="C57" t="s">
        <v>965</v>
      </c>
    </row>
    <row r="58" spans="1:12">
      <c r="A58" s="19" t="s">
        <v>1051</v>
      </c>
      <c r="B58" s="19" t="s">
        <v>1052</v>
      </c>
      <c r="C58" t="s">
        <v>965</v>
      </c>
    </row>
    <row r="59" spans="1:12">
      <c r="A59" s="19" t="s">
        <v>1042</v>
      </c>
      <c r="B59" s="19" t="s">
        <v>1043</v>
      </c>
      <c r="C59" t="s">
        <v>965</v>
      </c>
    </row>
    <row r="60" spans="1:12">
      <c r="A60" s="19" t="s">
        <v>1044</v>
      </c>
      <c r="B60" s="19" t="s">
        <v>1045</v>
      </c>
      <c r="C60" t="s">
        <v>965</v>
      </c>
    </row>
    <row r="61" spans="1:12">
      <c r="A61" s="19" t="s">
        <v>1046</v>
      </c>
      <c r="B61" s="19" t="s">
        <v>1047</v>
      </c>
      <c r="C61" t="s">
        <v>965</v>
      </c>
    </row>
    <row r="62" spans="1:12">
      <c r="A62" s="19" t="s">
        <v>1047</v>
      </c>
      <c r="B62" s="19" t="s">
        <v>1048</v>
      </c>
      <c r="C62" t="s">
        <v>965</v>
      </c>
    </row>
    <row r="63" spans="1:12">
      <c r="A63" s="19" t="s">
        <v>1049</v>
      </c>
      <c r="B63" s="19" t="s">
        <v>1050</v>
      </c>
      <c r="C63" t="s">
        <v>965</v>
      </c>
    </row>
    <row r="64" spans="1:12">
      <c r="A64" s="19" t="s">
        <v>1011</v>
      </c>
      <c r="B64" s="19" t="s">
        <v>1012</v>
      </c>
      <c r="C64" t="s">
        <v>965</v>
      </c>
    </row>
    <row r="65" spans="1:3">
      <c r="A65" s="19" t="s">
        <v>1009</v>
      </c>
      <c r="B65" s="19" t="s">
        <v>1010</v>
      </c>
      <c r="C65" t="s">
        <v>965</v>
      </c>
    </row>
    <row r="66" spans="1:3">
      <c r="A66" s="19" t="s">
        <v>1008</v>
      </c>
      <c r="B66" s="19" t="s">
        <v>1018</v>
      </c>
      <c r="C66" t="s">
        <v>965</v>
      </c>
    </row>
    <row r="67" spans="1:3">
      <c r="A67" s="19" t="s">
        <v>1018</v>
      </c>
      <c r="B67" s="19" t="s">
        <v>1037</v>
      </c>
      <c r="C67" t="s">
        <v>965</v>
      </c>
    </row>
    <row r="68" spans="1:3">
      <c r="A68" s="19" t="s">
        <v>1062</v>
      </c>
      <c r="B68" s="19" t="s">
        <v>1063</v>
      </c>
    </row>
    <row r="69" spans="1:3">
      <c r="A69" s="19" t="s">
        <v>1013</v>
      </c>
      <c r="B69" s="19" t="s">
        <v>1014</v>
      </c>
      <c r="C69" t="s">
        <v>965</v>
      </c>
    </row>
    <row r="70" spans="1:3">
      <c r="A70" s="19" t="s">
        <v>1015</v>
      </c>
      <c r="B70" s="19" t="s">
        <v>1016</v>
      </c>
      <c r="C70" t="s">
        <v>965</v>
      </c>
    </row>
    <row r="71" spans="1:3">
      <c r="A71" s="19" t="s">
        <v>1015</v>
      </c>
      <c r="B71" s="19" t="s">
        <v>1019</v>
      </c>
      <c r="C71" t="s">
        <v>965</v>
      </c>
    </row>
    <row r="72" spans="1:3">
      <c r="A72" s="19" t="s">
        <v>1035</v>
      </c>
      <c r="B72" s="19" t="s">
        <v>1036</v>
      </c>
      <c r="C72" t="s">
        <v>965</v>
      </c>
    </row>
    <row r="73" spans="1:3">
      <c r="A73" s="21" t="s">
        <v>1038</v>
      </c>
      <c r="B73" s="19" t="s">
        <v>1039</v>
      </c>
      <c r="C73" t="s">
        <v>965</v>
      </c>
    </row>
    <row r="74" spans="1:3" ht="15">
      <c r="A74" s="18" t="s">
        <v>491</v>
      </c>
      <c r="B74" s="18" t="s">
        <v>491</v>
      </c>
      <c r="C74" t="s">
        <v>965</v>
      </c>
    </row>
    <row r="76" spans="1:3">
      <c r="A76" s="21"/>
    </row>
  </sheetData>
  <conditionalFormatting sqref="A17 A20 A23 A29:A30 A1:A3 A5:A15 A33 A42:A43 A50 B21:B23 A36:A37 A70:A71 A63:A66 A73:A1048576">
    <cfRule type="containsText" dxfId="16" priority="14" operator="containsText" text="_cam_">
      <formula>NOT(ISERROR(SEARCH("_cam_",A1)))</formula>
    </cfRule>
  </conditionalFormatting>
  <conditionalFormatting sqref="B2">
    <cfRule type="containsText" dxfId="15" priority="13" operator="containsText" text="_cam_">
      <formula>NOT(ISERROR(SEARCH("_cam_",B2)))</formula>
    </cfRule>
  </conditionalFormatting>
  <conditionalFormatting sqref="A21:A22">
    <cfRule type="containsText" dxfId="14" priority="11" operator="containsText" text="_cam_">
      <formula>NOT(ISERROR(SEARCH("_cam_",A21)))</formula>
    </cfRule>
  </conditionalFormatting>
  <conditionalFormatting sqref="B43">
    <cfRule type="containsText" dxfId="13" priority="7" operator="containsText" text="_cam_">
      <formula>NOT(ISERROR(SEARCH("_cam_",B43)))</formula>
    </cfRule>
  </conditionalFormatting>
  <conditionalFormatting sqref="B74">
    <cfRule type="containsText" dxfId="12" priority="3" operator="containsText" text="_cam_">
      <formula>NOT(ISERROR(SEARCH("_cam_",B74)))</formula>
    </cfRule>
  </conditionalFormatting>
  <conditionalFormatting sqref="A58:A61">
    <cfRule type="containsText" dxfId="11" priority="2" operator="containsText" text="_cam_">
      <formula>NOT(ISERROR(SEARCH("_cam_",A58)))</formula>
    </cfRule>
  </conditionalFormatting>
  <conditionalFormatting sqref="A53:A56">
    <cfRule type="containsText" dxfId="10" priority="1" operator="containsText" text="_cam_">
      <formula>NOT(ISERROR(SEARCH("_cam_",A53)))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2660-0946-4504-9474-8E0267D03198}">
  <sheetPr codeName="Sheet14"/>
  <dimension ref="A1:H429"/>
  <sheetViews>
    <sheetView workbookViewId="0">
      <selection activeCell="B1" sqref="A1:B1048576"/>
    </sheetView>
  </sheetViews>
  <sheetFormatPr defaultRowHeight="14.25"/>
  <cols>
    <col min="1" max="1" width="38.375" customWidth="1"/>
    <col min="2" max="2" width="33.5" customWidth="1"/>
    <col min="3" max="3" width="12.125" customWidth="1"/>
    <col min="4" max="4" width="18.375" customWidth="1"/>
    <col min="6" max="6" width="38.75" customWidth="1"/>
    <col min="7" max="7" width="26" customWidth="1"/>
  </cols>
  <sheetData>
    <row r="1" spans="1:8" ht="15">
      <c r="A1" s="11" t="s">
        <v>330</v>
      </c>
      <c r="B1" s="11" t="s">
        <v>282</v>
      </c>
      <c r="C1" s="11"/>
      <c r="D1">
        <f>COUNTA(A:A)</f>
        <v>429</v>
      </c>
    </row>
    <row r="2" spans="1:8" ht="15" hidden="1">
      <c r="A2" s="11" t="s">
        <v>491</v>
      </c>
      <c r="B2" s="11" t="s">
        <v>491</v>
      </c>
      <c r="C2" s="11"/>
    </row>
    <row r="3" spans="1:8">
      <c r="A3" t="s">
        <v>330</v>
      </c>
      <c r="B3" s="2" t="s">
        <v>282</v>
      </c>
      <c r="C3" s="2"/>
    </row>
    <row r="4" spans="1:8">
      <c r="A4" t="s">
        <v>1207</v>
      </c>
      <c r="B4" t="s">
        <v>1208</v>
      </c>
    </row>
    <row r="5" spans="1:8">
      <c r="A5" s="15" t="s">
        <v>1081</v>
      </c>
      <c r="B5" s="12" t="s">
        <v>1080</v>
      </c>
    </row>
    <row r="6" spans="1:8">
      <c r="A6" t="s">
        <v>474</v>
      </c>
      <c r="B6" t="s">
        <v>524</v>
      </c>
    </row>
    <row r="7" spans="1:8">
      <c r="A7" t="s">
        <v>353</v>
      </c>
      <c r="B7" t="s">
        <v>354</v>
      </c>
    </row>
    <row r="8" spans="1:8">
      <c r="A8" t="s">
        <v>351</v>
      </c>
      <c r="B8" t="s">
        <v>352</v>
      </c>
    </row>
    <row r="9" spans="1:8">
      <c r="A9" t="s">
        <v>406</v>
      </c>
      <c r="B9" t="s">
        <v>525</v>
      </c>
    </row>
    <row r="10" spans="1:8">
      <c r="A10" t="s">
        <v>409</v>
      </c>
      <c r="B10" t="s">
        <v>526</v>
      </c>
      <c r="F10" t="s">
        <v>1209</v>
      </c>
      <c r="G10" t="str">
        <f>F10&amp;"^l"</f>
        <v>::::{grid-item-card} {{ rtxt_figure1_ref_id }}^l</v>
      </c>
    </row>
    <row r="11" spans="1:8">
      <c r="A11" t="s">
        <v>391</v>
      </c>
      <c r="B11" t="s">
        <v>527</v>
      </c>
      <c r="F11" t="s">
        <v>1210</v>
      </c>
      <c r="G11" t="str">
        <f t="shared" ref="G11:G15" si="0">F11&amp;"^l"</f>
        <v>:::{figure} ../03_images/03_image_files/figure1_filename.png^l</v>
      </c>
      <c r="H11" t="str">
        <f>G10&amp;G11</f>
        <v>::::{grid-item-card} {{ rtxt_figure1_ref_id }}^l:::{figure} ../03_images/03_image_files/figure1_filename.png^l</v>
      </c>
    </row>
    <row r="12" spans="1:8">
      <c r="A12" t="s">
        <v>333</v>
      </c>
      <c r="B12" t="s">
        <v>528</v>
      </c>
      <c r="F12" t="s">
        <v>1211</v>
      </c>
      <c r="G12" t="str">
        <f t="shared" si="0"/>
        <v>:class: img_grid^l</v>
      </c>
      <c r="H12" t="str">
        <f>H11&amp;G12</f>
        <v>::::{grid-item-card} {{ rtxt_figure1_ref_id }}^l:::{figure} ../03_images/03_image_files/figure1_filename.png^l:class: img_grid^l</v>
      </c>
    </row>
    <row r="13" spans="1:8">
      <c r="A13" t="s">
        <v>362</v>
      </c>
      <c r="B13" t="s">
        <v>529</v>
      </c>
      <c r="F13" t="s">
        <v>1212</v>
      </c>
      <c r="G13" t="str">
        <f t="shared" si="0"/>
        <v>:::^l</v>
      </c>
      <c r="H13" t="str">
        <f t="shared" ref="H13:H15" si="1">H12&amp;G13</f>
        <v>::::{grid-item-card} {{ rtxt_figure1_ref_id }}^l:::{figure} ../03_images/03_image_files/figure1_filename.png^l:class: img_grid^l:::^l</v>
      </c>
    </row>
    <row r="14" spans="1:8">
      <c r="A14" t="s">
        <v>335</v>
      </c>
      <c r="B14" t="s">
        <v>530</v>
      </c>
      <c r="F14" t="s">
        <v>1213</v>
      </c>
      <c r="G14" t="str">
        <f t="shared" si="0"/>
        <v>figure1_caption^l</v>
      </c>
      <c r="H14" t="str">
        <f t="shared" si="1"/>
        <v>::::{grid-item-card} {{ rtxt_figure1_ref_id }}^l:::{figure} ../03_images/03_image_files/figure1_filename.png^l:class: img_grid^l:::^lfigure1_caption^l</v>
      </c>
    </row>
    <row r="15" spans="1:8">
      <c r="A15" t="s">
        <v>334</v>
      </c>
      <c r="B15" t="s">
        <v>531</v>
      </c>
      <c r="F15" t="s">
        <v>1214</v>
      </c>
      <c r="G15" t="str">
        <f t="shared" si="0"/>
        <v>::::^l</v>
      </c>
      <c r="H15" t="str">
        <f t="shared" si="1"/>
        <v>::::{grid-item-card} {{ rtxt_figure1_ref_id }}^l:::{figure} ../03_images/03_image_files/figure1_filename.png^l:class: img_grid^l:::^lfigure1_caption^l::::^l</v>
      </c>
    </row>
    <row r="16" spans="1:8">
      <c r="A16" t="s">
        <v>496</v>
      </c>
      <c r="B16" t="s">
        <v>499</v>
      </c>
    </row>
    <row r="17" spans="1:7">
      <c r="A17" t="s">
        <v>410</v>
      </c>
      <c r="B17" t="s">
        <v>532</v>
      </c>
    </row>
    <row r="18" spans="1:7">
      <c r="A18" t="s">
        <v>392</v>
      </c>
      <c r="B18" t="s">
        <v>533</v>
      </c>
      <c r="G18" t="s">
        <v>1215</v>
      </c>
    </row>
    <row r="19" spans="1:7">
      <c r="A19" t="s">
        <v>381</v>
      </c>
      <c r="B19" t="s">
        <v>534</v>
      </c>
      <c r="G19" t="s">
        <v>1216</v>
      </c>
    </row>
    <row r="20" spans="1:7">
      <c r="A20" t="s">
        <v>358</v>
      </c>
      <c r="B20" t="s">
        <v>535</v>
      </c>
      <c r="G20" t="s">
        <v>1217</v>
      </c>
    </row>
    <row r="21" spans="1:7">
      <c r="A21" t="s">
        <v>364</v>
      </c>
      <c r="B21" t="s">
        <v>536</v>
      </c>
      <c r="G21" t="s">
        <v>1218</v>
      </c>
    </row>
    <row r="22" spans="1:7">
      <c r="A22" t="s">
        <v>359</v>
      </c>
      <c r="B22" t="s">
        <v>537</v>
      </c>
      <c r="G22" t="s">
        <v>1219</v>
      </c>
    </row>
    <row r="23" spans="1:7">
      <c r="A23" t="s">
        <v>365</v>
      </c>
      <c r="B23" t="s">
        <v>538</v>
      </c>
      <c r="G23" t="s">
        <v>1220</v>
      </c>
    </row>
    <row r="24" spans="1:7">
      <c r="A24" t="s">
        <v>368</v>
      </c>
      <c r="B24" t="s">
        <v>539</v>
      </c>
    </row>
    <row r="25" spans="1:7">
      <c r="A25" t="s">
        <v>337</v>
      </c>
      <c r="B25" t="s">
        <v>540</v>
      </c>
    </row>
    <row r="26" spans="1:7">
      <c r="A26" t="s">
        <v>337</v>
      </c>
      <c r="B26" t="s">
        <v>540</v>
      </c>
      <c r="F26" t="s">
        <v>1221</v>
      </c>
      <c r="G26" t="s">
        <v>932</v>
      </c>
    </row>
    <row r="27" spans="1:7">
      <c r="A27" t="s">
        <v>338</v>
      </c>
      <c r="B27" t="s">
        <v>541</v>
      </c>
    </row>
    <row r="28" spans="1:7">
      <c r="A28" t="s">
        <v>338</v>
      </c>
      <c r="B28" t="s">
        <v>541</v>
      </c>
    </row>
    <row r="29" spans="1:7">
      <c r="A29" t="s">
        <v>357</v>
      </c>
      <c r="B29" t="s">
        <v>542</v>
      </c>
    </row>
    <row r="30" spans="1:7">
      <c r="A30" t="s">
        <v>331</v>
      </c>
      <c r="B30" t="s">
        <v>543</v>
      </c>
    </row>
    <row r="31" spans="1:7">
      <c r="A31" t="s">
        <v>473</v>
      </c>
      <c r="B31" t="s">
        <v>544</v>
      </c>
    </row>
    <row r="32" spans="1:7">
      <c r="A32" t="s">
        <v>332</v>
      </c>
      <c r="B32" t="s">
        <v>545</v>
      </c>
    </row>
    <row r="33" spans="1:2">
      <c r="A33" t="s">
        <v>422</v>
      </c>
      <c r="B33" t="s">
        <v>546</v>
      </c>
    </row>
    <row r="34" spans="1:2">
      <c r="A34" t="s">
        <v>423</v>
      </c>
      <c r="B34" t="s">
        <v>547</v>
      </c>
    </row>
    <row r="35" spans="1:2">
      <c r="A35" t="s">
        <v>411</v>
      </c>
      <c r="B35" t="s">
        <v>548</v>
      </c>
    </row>
    <row r="36" spans="1:2">
      <c r="A36" t="s">
        <v>393</v>
      </c>
      <c r="B36" t="s">
        <v>549</v>
      </c>
    </row>
    <row r="37" spans="1:2">
      <c r="A37" t="s">
        <v>369</v>
      </c>
      <c r="B37" t="s">
        <v>550</v>
      </c>
    </row>
    <row r="38" spans="1:2">
      <c r="A38" t="s">
        <v>382</v>
      </c>
      <c r="B38" t="s">
        <v>551</v>
      </c>
    </row>
    <row r="39" spans="1:2">
      <c r="A39" t="s">
        <v>383</v>
      </c>
      <c r="B39" t="s">
        <v>552</v>
      </c>
    </row>
    <row r="40" spans="1:2">
      <c r="A40" t="s">
        <v>449</v>
      </c>
      <c r="B40" t="s">
        <v>553</v>
      </c>
    </row>
    <row r="41" spans="1:2">
      <c r="A41" t="s">
        <v>451</v>
      </c>
      <c r="B41" t="s">
        <v>554</v>
      </c>
    </row>
    <row r="42" spans="1:2">
      <c r="A42" t="s">
        <v>453</v>
      </c>
      <c r="B42" t="s">
        <v>555</v>
      </c>
    </row>
    <row r="43" spans="1:2">
      <c r="A43" t="s">
        <v>456</v>
      </c>
      <c r="B43" t="s">
        <v>556</v>
      </c>
    </row>
    <row r="44" spans="1:2">
      <c r="A44" t="s">
        <v>461</v>
      </c>
      <c r="B44" t="s">
        <v>557</v>
      </c>
    </row>
    <row r="45" spans="1:2">
      <c r="A45" t="s">
        <v>466</v>
      </c>
      <c r="B45" t="s">
        <v>558</v>
      </c>
    </row>
    <row r="46" spans="1:2">
      <c r="A46" t="s">
        <v>463</v>
      </c>
      <c r="B46" t="s">
        <v>559</v>
      </c>
    </row>
    <row r="47" spans="1:2">
      <c r="A47" t="s">
        <v>464</v>
      </c>
      <c r="B47" t="s">
        <v>560</v>
      </c>
    </row>
    <row r="48" spans="1:2">
      <c r="A48" t="s">
        <v>468</v>
      </c>
      <c r="B48" t="s">
        <v>561</v>
      </c>
    </row>
    <row r="49" spans="1:2">
      <c r="A49" t="s">
        <v>378</v>
      </c>
      <c r="B49" t="s">
        <v>562</v>
      </c>
    </row>
    <row r="50" spans="1:2">
      <c r="A50" t="s">
        <v>492</v>
      </c>
      <c r="B50" t="s">
        <v>493</v>
      </c>
    </row>
    <row r="51" spans="1:2">
      <c r="A51" t="s">
        <v>363</v>
      </c>
      <c r="B51" t="s">
        <v>563</v>
      </c>
    </row>
    <row r="52" spans="1:2">
      <c r="A52" t="s">
        <v>379</v>
      </c>
      <c r="B52" t="s">
        <v>564</v>
      </c>
    </row>
    <row r="53" spans="1:2">
      <c r="A53" t="s">
        <v>504</v>
      </c>
      <c r="B53" t="s">
        <v>565</v>
      </c>
    </row>
    <row r="54" spans="1:2">
      <c r="A54" t="s">
        <v>370</v>
      </c>
      <c r="B54" t="s">
        <v>566</v>
      </c>
    </row>
    <row r="55" spans="1:2">
      <c r="A55" t="s">
        <v>407</v>
      </c>
      <c r="B55" t="s">
        <v>567</v>
      </c>
    </row>
    <row r="56" spans="1:2">
      <c r="A56" t="s">
        <v>433</v>
      </c>
      <c r="B56" t="s">
        <v>568</v>
      </c>
    </row>
    <row r="57" spans="1:2">
      <c r="A57" t="s">
        <v>375</v>
      </c>
      <c r="B57" t="s">
        <v>569</v>
      </c>
    </row>
    <row r="58" spans="1:2">
      <c r="A58" t="s">
        <v>371</v>
      </c>
      <c r="B58" t="s">
        <v>570</v>
      </c>
    </row>
    <row r="59" spans="1:2">
      <c r="A59" t="s">
        <v>372</v>
      </c>
      <c r="B59" t="s">
        <v>571</v>
      </c>
    </row>
    <row r="60" spans="1:2">
      <c r="A60" t="s">
        <v>356</v>
      </c>
      <c r="B60" t="s">
        <v>572</v>
      </c>
    </row>
    <row r="61" spans="1:2">
      <c r="A61" t="s">
        <v>355</v>
      </c>
      <c r="B61" t="s">
        <v>573</v>
      </c>
    </row>
    <row r="62" spans="1:2">
      <c r="A62" t="s">
        <v>373</v>
      </c>
      <c r="B62" t="s">
        <v>574</v>
      </c>
    </row>
    <row r="63" spans="1:2">
      <c r="A63" t="s">
        <v>377</v>
      </c>
      <c r="B63" t="s">
        <v>575</v>
      </c>
    </row>
    <row r="64" spans="1:2">
      <c r="A64" t="s">
        <v>367</v>
      </c>
      <c r="B64" t="s">
        <v>575</v>
      </c>
    </row>
    <row r="65" spans="1:2">
      <c r="A65" t="s">
        <v>374</v>
      </c>
      <c r="B65" t="s">
        <v>576</v>
      </c>
    </row>
    <row r="66" spans="1:2">
      <c r="A66" t="s">
        <v>376</v>
      </c>
      <c r="B66" t="s">
        <v>577</v>
      </c>
    </row>
    <row r="67" spans="1:2">
      <c r="A67" t="s">
        <v>412</v>
      </c>
      <c r="B67" t="s">
        <v>578</v>
      </c>
    </row>
    <row r="68" spans="1:2">
      <c r="A68" t="s">
        <v>394</v>
      </c>
      <c r="B68" t="s">
        <v>579</v>
      </c>
    </row>
    <row r="69" spans="1:2">
      <c r="A69" t="s">
        <v>413</v>
      </c>
      <c r="B69" t="s">
        <v>580</v>
      </c>
    </row>
    <row r="70" spans="1:2">
      <c r="A70" t="s">
        <v>395</v>
      </c>
      <c r="B70" t="s">
        <v>581</v>
      </c>
    </row>
    <row r="71" spans="1:2">
      <c r="A71" t="s">
        <v>471</v>
      </c>
      <c r="B71" t="s">
        <v>503</v>
      </c>
    </row>
    <row r="72" spans="1:2">
      <c r="A72" t="s">
        <v>390</v>
      </c>
      <c r="B72" t="s">
        <v>582</v>
      </c>
    </row>
    <row r="73" spans="1:2">
      <c r="A73" t="s">
        <v>361</v>
      </c>
      <c r="B73" t="s">
        <v>502</v>
      </c>
    </row>
    <row r="74" spans="1:2">
      <c r="A74" t="s">
        <v>380</v>
      </c>
      <c r="B74" t="s">
        <v>583</v>
      </c>
    </row>
    <row r="75" spans="1:2">
      <c r="A75" t="s">
        <v>432</v>
      </c>
      <c r="B75" t="s">
        <v>584</v>
      </c>
    </row>
    <row r="76" spans="1:2">
      <c r="A76" t="s">
        <v>384</v>
      </c>
      <c r="B76" t="s">
        <v>585</v>
      </c>
    </row>
    <row r="77" spans="1:2">
      <c r="A77" t="s">
        <v>408</v>
      </c>
      <c r="B77" t="s">
        <v>586</v>
      </c>
    </row>
    <row r="78" spans="1:2">
      <c r="A78" t="s">
        <v>396</v>
      </c>
      <c r="B78" t="s">
        <v>587</v>
      </c>
    </row>
    <row r="79" spans="1:2">
      <c r="A79" t="s">
        <v>458</v>
      </c>
      <c r="B79" t="s">
        <v>588</v>
      </c>
    </row>
    <row r="80" spans="1:2">
      <c r="A80" t="s">
        <v>385</v>
      </c>
      <c r="B80" t="s">
        <v>589</v>
      </c>
    </row>
    <row r="81" spans="1:2">
      <c r="A81" t="s">
        <v>386</v>
      </c>
      <c r="B81" t="s">
        <v>590</v>
      </c>
    </row>
    <row r="82" spans="1:2">
      <c r="A82" t="s">
        <v>404</v>
      </c>
      <c r="B82" t="s">
        <v>591</v>
      </c>
    </row>
    <row r="83" spans="1:2">
      <c r="A83" t="s">
        <v>387</v>
      </c>
      <c r="B83" t="s">
        <v>592</v>
      </c>
    </row>
    <row r="84" spans="1:2">
      <c r="A84" t="s">
        <v>414</v>
      </c>
      <c r="B84" t="s">
        <v>593</v>
      </c>
    </row>
    <row r="85" spans="1:2">
      <c r="A85" t="s">
        <v>397</v>
      </c>
      <c r="B85" t="s">
        <v>594</v>
      </c>
    </row>
    <row r="86" spans="1:2">
      <c r="A86" t="s">
        <v>415</v>
      </c>
      <c r="B86" t="s">
        <v>595</v>
      </c>
    </row>
    <row r="87" spans="1:2">
      <c r="A87" t="s">
        <v>398</v>
      </c>
      <c r="B87" t="s">
        <v>596</v>
      </c>
    </row>
    <row r="88" spans="1:2">
      <c r="A88" t="s">
        <v>336</v>
      </c>
      <c r="B88" t="s">
        <v>597</v>
      </c>
    </row>
    <row r="89" spans="1:2">
      <c r="A89" t="s">
        <v>399</v>
      </c>
      <c r="B89" t="s">
        <v>598</v>
      </c>
    </row>
    <row r="90" spans="1:2">
      <c r="A90" t="s">
        <v>405</v>
      </c>
      <c r="B90" t="s">
        <v>599</v>
      </c>
    </row>
    <row r="91" spans="1:2">
      <c r="A91" t="s">
        <v>475</v>
      </c>
      <c r="B91" t="s">
        <v>600</v>
      </c>
    </row>
    <row r="92" spans="1:2">
      <c r="A92" t="s">
        <v>476</v>
      </c>
      <c r="B92" t="s">
        <v>601</v>
      </c>
    </row>
    <row r="93" spans="1:2">
      <c r="A93" t="s">
        <v>360</v>
      </c>
      <c r="B93" t="s">
        <v>602</v>
      </c>
    </row>
    <row r="94" spans="1:2">
      <c r="A94" t="s">
        <v>366</v>
      </c>
      <c r="B94" t="s">
        <v>603</v>
      </c>
    </row>
    <row r="95" spans="1:2">
      <c r="A95" t="s">
        <v>472</v>
      </c>
      <c r="B95" t="s">
        <v>498</v>
      </c>
    </row>
    <row r="96" spans="1:2">
      <c r="A96" t="s">
        <v>495</v>
      </c>
      <c r="B96" t="s">
        <v>497</v>
      </c>
    </row>
    <row r="97" spans="1:2">
      <c r="A97" t="s">
        <v>416</v>
      </c>
      <c r="B97" t="s">
        <v>604</v>
      </c>
    </row>
    <row r="98" spans="1:2">
      <c r="A98" t="s">
        <v>400</v>
      </c>
      <c r="B98" t="s">
        <v>605</v>
      </c>
    </row>
    <row r="99" spans="1:2">
      <c r="A99" t="s">
        <v>417</v>
      </c>
      <c r="B99" t="s">
        <v>606</v>
      </c>
    </row>
    <row r="100" spans="1:2">
      <c r="A100" t="s">
        <v>401</v>
      </c>
      <c r="B100" t="s">
        <v>607</v>
      </c>
    </row>
    <row r="101" spans="1:2">
      <c r="A101" t="s">
        <v>418</v>
      </c>
      <c r="B101" t="s">
        <v>608</v>
      </c>
    </row>
    <row r="102" spans="1:2">
      <c r="A102" t="s">
        <v>402</v>
      </c>
      <c r="B102" t="s">
        <v>609</v>
      </c>
    </row>
    <row r="103" spans="1:2">
      <c r="A103" t="s">
        <v>431</v>
      </c>
      <c r="B103" t="s">
        <v>610</v>
      </c>
    </row>
    <row r="104" spans="1:2">
      <c r="A104" t="s">
        <v>419</v>
      </c>
      <c r="B104" t="s">
        <v>611</v>
      </c>
    </row>
    <row r="105" spans="1:2">
      <c r="A105" t="s">
        <v>403</v>
      </c>
      <c r="B105" t="s">
        <v>612</v>
      </c>
    </row>
    <row r="106" spans="1:2">
      <c r="A106" t="s">
        <v>388</v>
      </c>
      <c r="B106" t="s">
        <v>613</v>
      </c>
    </row>
    <row r="107" spans="1:2">
      <c r="A107" t="s">
        <v>389</v>
      </c>
      <c r="B107" t="s">
        <v>614</v>
      </c>
    </row>
    <row r="108" spans="1:2">
      <c r="A108" t="s">
        <v>281</v>
      </c>
      <c r="B108" t="s">
        <v>615</v>
      </c>
    </row>
    <row r="109" spans="1:2">
      <c r="A109" t="s">
        <v>280</v>
      </c>
      <c r="B109" t="s">
        <v>616</v>
      </c>
    </row>
    <row r="110" spans="1:2">
      <c r="A110" t="s">
        <v>279</v>
      </c>
      <c r="B110" t="s">
        <v>617</v>
      </c>
    </row>
    <row r="111" spans="1:2">
      <c r="A111" t="s">
        <v>278</v>
      </c>
      <c r="B111" t="s">
        <v>618</v>
      </c>
    </row>
    <row r="112" spans="1:2">
      <c r="A112" t="s">
        <v>277</v>
      </c>
      <c r="B112" t="s">
        <v>619</v>
      </c>
    </row>
    <row r="113" spans="1:2">
      <c r="A113" t="s">
        <v>276</v>
      </c>
      <c r="B113" t="s">
        <v>620</v>
      </c>
    </row>
    <row r="114" spans="1:2">
      <c r="A114" t="s">
        <v>275</v>
      </c>
      <c r="B114" t="s">
        <v>621</v>
      </c>
    </row>
    <row r="115" spans="1:2">
      <c r="A115" t="s">
        <v>274</v>
      </c>
      <c r="B115" t="s">
        <v>622</v>
      </c>
    </row>
    <row r="116" spans="1:2">
      <c r="A116" t="s">
        <v>273</v>
      </c>
      <c r="B116" t="s">
        <v>623</v>
      </c>
    </row>
    <row r="117" spans="1:2">
      <c r="A117" t="s">
        <v>85</v>
      </c>
      <c r="B117" t="s">
        <v>624</v>
      </c>
    </row>
    <row r="118" spans="1:2">
      <c r="A118" t="s">
        <v>174</v>
      </c>
      <c r="B118" t="s">
        <v>625</v>
      </c>
    </row>
    <row r="119" spans="1:2">
      <c r="A119" t="s">
        <v>84</v>
      </c>
      <c r="B119" t="s">
        <v>626</v>
      </c>
    </row>
    <row r="120" spans="1:2">
      <c r="A120" t="s">
        <v>173</v>
      </c>
      <c r="B120" t="s">
        <v>627</v>
      </c>
    </row>
    <row r="121" spans="1:2">
      <c r="A121" t="s">
        <v>272</v>
      </c>
      <c r="B121" t="s">
        <v>628</v>
      </c>
    </row>
    <row r="122" spans="1:2">
      <c r="A122" t="s">
        <v>51</v>
      </c>
      <c r="B122" t="s">
        <v>629</v>
      </c>
    </row>
    <row r="123" spans="1:2">
      <c r="A123" t="s">
        <v>139</v>
      </c>
      <c r="B123" t="s">
        <v>630</v>
      </c>
    </row>
    <row r="124" spans="1:2">
      <c r="A124" t="s">
        <v>34</v>
      </c>
      <c r="B124" t="s">
        <v>631</v>
      </c>
    </row>
    <row r="125" spans="1:2">
      <c r="A125" t="s">
        <v>122</v>
      </c>
      <c r="B125" t="s">
        <v>632</v>
      </c>
    </row>
    <row r="126" spans="1:2">
      <c r="A126" t="s">
        <v>3</v>
      </c>
      <c r="B126" t="s">
        <v>633</v>
      </c>
    </row>
    <row r="127" spans="1:2">
      <c r="A127" t="s">
        <v>91</v>
      </c>
      <c r="B127" t="s">
        <v>634</v>
      </c>
    </row>
    <row r="128" spans="1:2">
      <c r="A128" t="s">
        <v>271</v>
      </c>
      <c r="B128" t="s">
        <v>635</v>
      </c>
    </row>
    <row r="129" spans="1:2">
      <c r="A129" t="s">
        <v>270</v>
      </c>
      <c r="B129" t="s">
        <v>636</v>
      </c>
    </row>
    <row r="130" spans="1:2">
      <c r="A130" t="s">
        <v>268</v>
      </c>
      <c r="B130" t="s">
        <v>637</v>
      </c>
    </row>
    <row r="131" spans="1:2">
      <c r="A131" t="s">
        <v>267</v>
      </c>
      <c r="B131" t="s">
        <v>638</v>
      </c>
    </row>
    <row r="132" spans="1:2">
      <c r="A132" t="s">
        <v>81</v>
      </c>
      <c r="B132" t="s">
        <v>639</v>
      </c>
    </row>
    <row r="133" spans="1:2">
      <c r="A133" t="s">
        <v>170</v>
      </c>
      <c r="B133" t="s">
        <v>640</v>
      </c>
    </row>
    <row r="134" spans="1:2">
      <c r="A134" t="s">
        <v>266</v>
      </c>
      <c r="B134" t="s">
        <v>641</v>
      </c>
    </row>
    <row r="135" spans="1:2">
      <c r="A135" t="s">
        <v>265</v>
      </c>
      <c r="B135" t="s">
        <v>642</v>
      </c>
    </row>
    <row r="136" spans="1:2">
      <c r="A136" t="s">
        <v>169</v>
      </c>
      <c r="B136" t="s">
        <v>643</v>
      </c>
    </row>
    <row r="137" spans="1:2">
      <c r="A137" t="s">
        <v>264</v>
      </c>
      <c r="B137" t="s">
        <v>644</v>
      </c>
    </row>
    <row r="138" spans="1:2">
      <c r="A138" t="s">
        <v>263</v>
      </c>
      <c r="B138" t="s">
        <v>645</v>
      </c>
    </row>
    <row r="139" spans="1:2">
      <c r="A139" t="s">
        <v>262</v>
      </c>
      <c r="B139" t="s">
        <v>646</v>
      </c>
    </row>
    <row r="140" spans="1:2">
      <c r="A140" t="s">
        <v>269</v>
      </c>
      <c r="B140" t="s">
        <v>647</v>
      </c>
    </row>
    <row r="141" spans="1:2">
      <c r="A141" t="s">
        <v>261</v>
      </c>
      <c r="B141" t="s">
        <v>648</v>
      </c>
    </row>
    <row r="142" spans="1:2">
      <c r="A142" t="s">
        <v>260</v>
      </c>
      <c r="B142" t="s">
        <v>649</v>
      </c>
    </row>
    <row r="143" spans="1:2">
      <c r="A143" t="s">
        <v>259</v>
      </c>
      <c r="B143" t="s">
        <v>650</v>
      </c>
    </row>
    <row r="144" spans="1:2">
      <c r="A144" t="s">
        <v>258</v>
      </c>
      <c r="B144" t="s">
        <v>651</v>
      </c>
    </row>
    <row r="145" spans="1:2">
      <c r="A145" t="s">
        <v>257</v>
      </c>
      <c r="B145" t="s">
        <v>652</v>
      </c>
    </row>
    <row r="146" spans="1:2">
      <c r="A146" t="s">
        <v>256</v>
      </c>
      <c r="B146" t="s">
        <v>653</v>
      </c>
    </row>
    <row r="147" spans="1:2">
      <c r="A147" t="s">
        <v>255</v>
      </c>
      <c r="B147" t="s">
        <v>654</v>
      </c>
    </row>
    <row r="148" spans="1:2">
      <c r="A148" t="s">
        <v>254</v>
      </c>
      <c r="B148" t="s">
        <v>655</v>
      </c>
    </row>
    <row r="149" spans="1:2">
      <c r="A149" t="s">
        <v>253</v>
      </c>
      <c r="B149" t="s">
        <v>656</v>
      </c>
    </row>
    <row r="150" spans="1:2">
      <c r="A150" t="s">
        <v>252</v>
      </c>
      <c r="B150" t="s">
        <v>657</v>
      </c>
    </row>
    <row r="151" spans="1:2">
      <c r="A151" t="s">
        <v>80</v>
      </c>
      <c r="B151" t="s">
        <v>658</v>
      </c>
    </row>
    <row r="152" spans="1:2">
      <c r="A152" t="s">
        <v>168</v>
      </c>
      <c r="B152" t="s">
        <v>659</v>
      </c>
    </row>
    <row r="153" spans="1:2">
      <c r="A153" t="s">
        <v>77</v>
      </c>
      <c r="B153" t="s">
        <v>660</v>
      </c>
    </row>
    <row r="154" spans="1:2">
      <c r="A154" t="s">
        <v>165</v>
      </c>
      <c r="B154" t="s">
        <v>661</v>
      </c>
    </row>
    <row r="155" spans="1:2">
      <c r="A155" t="s">
        <v>76</v>
      </c>
      <c r="B155" t="s">
        <v>662</v>
      </c>
    </row>
    <row r="156" spans="1:2">
      <c r="A156" t="s">
        <v>164</v>
      </c>
      <c r="B156" t="s">
        <v>663</v>
      </c>
    </row>
    <row r="157" spans="1:2">
      <c r="A157" t="s">
        <v>75</v>
      </c>
      <c r="B157" t="s">
        <v>664</v>
      </c>
    </row>
    <row r="158" spans="1:2">
      <c r="A158" t="s">
        <v>163</v>
      </c>
      <c r="B158" t="s">
        <v>665</v>
      </c>
    </row>
    <row r="159" spans="1:2">
      <c r="A159" t="s">
        <v>70</v>
      </c>
      <c r="B159" t="s">
        <v>666</v>
      </c>
    </row>
    <row r="160" spans="1:2">
      <c r="A160" t="s">
        <v>158</v>
      </c>
      <c r="B160" t="s">
        <v>667</v>
      </c>
    </row>
    <row r="161" spans="1:2">
      <c r="A161" t="s">
        <v>251</v>
      </c>
      <c r="B161" t="s">
        <v>668</v>
      </c>
    </row>
    <row r="162" spans="1:2">
      <c r="A162" t="s">
        <v>73</v>
      </c>
      <c r="B162" t="s">
        <v>669</v>
      </c>
    </row>
    <row r="163" spans="1:2">
      <c r="A163" t="s">
        <v>161</v>
      </c>
      <c r="B163" t="s">
        <v>670</v>
      </c>
    </row>
    <row r="164" spans="1:2">
      <c r="A164" t="s">
        <v>250</v>
      </c>
      <c r="B164" t="s">
        <v>671</v>
      </c>
    </row>
    <row r="165" spans="1:2">
      <c r="A165" t="s">
        <v>249</v>
      </c>
      <c r="B165" t="s">
        <v>672</v>
      </c>
    </row>
    <row r="166" spans="1:2">
      <c r="A166" t="s">
        <v>248</v>
      </c>
      <c r="B166" t="s">
        <v>673</v>
      </c>
    </row>
    <row r="167" spans="1:2">
      <c r="A167" t="s">
        <v>247</v>
      </c>
      <c r="B167" t="s">
        <v>674</v>
      </c>
    </row>
    <row r="168" spans="1:2">
      <c r="A168" t="s">
        <v>439</v>
      </c>
      <c r="B168" t="s">
        <v>675</v>
      </c>
    </row>
    <row r="169" spans="1:2">
      <c r="A169" t="s">
        <v>72</v>
      </c>
      <c r="B169" t="s">
        <v>676</v>
      </c>
    </row>
    <row r="170" spans="1:2">
      <c r="A170" t="s">
        <v>160</v>
      </c>
      <c r="B170" t="s">
        <v>677</v>
      </c>
    </row>
    <row r="171" spans="1:2">
      <c r="A171" t="s">
        <v>246</v>
      </c>
      <c r="B171" t="s">
        <v>678</v>
      </c>
    </row>
    <row r="172" spans="1:2">
      <c r="A172" t="s">
        <v>245</v>
      </c>
      <c r="B172" t="s">
        <v>679</v>
      </c>
    </row>
    <row r="173" spans="1:2">
      <c r="A173" t="s">
        <v>71</v>
      </c>
      <c r="B173" t="s">
        <v>680</v>
      </c>
    </row>
    <row r="174" spans="1:2">
      <c r="A174" t="s">
        <v>159</v>
      </c>
      <c r="B174" t="s">
        <v>681</v>
      </c>
    </row>
    <row r="175" spans="1:2">
      <c r="A175" t="s">
        <v>69</v>
      </c>
      <c r="B175" t="s">
        <v>682</v>
      </c>
    </row>
    <row r="176" spans="1:2">
      <c r="A176" t="s">
        <v>157</v>
      </c>
      <c r="B176" t="s">
        <v>683</v>
      </c>
    </row>
    <row r="177" spans="1:2">
      <c r="A177" t="s">
        <v>68</v>
      </c>
      <c r="B177" t="s">
        <v>684</v>
      </c>
    </row>
    <row r="178" spans="1:2">
      <c r="A178" t="s">
        <v>156</v>
      </c>
      <c r="B178" t="s">
        <v>685</v>
      </c>
    </row>
    <row r="179" spans="1:2">
      <c r="A179" t="s">
        <v>67</v>
      </c>
      <c r="B179" t="s">
        <v>686</v>
      </c>
    </row>
    <row r="180" spans="1:2">
      <c r="A180" t="s">
        <v>155</v>
      </c>
      <c r="B180" t="s">
        <v>687</v>
      </c>
    </row>
    <row r="181" spans="1:2">
      <c r="A181" t="s">
        <v>66</v>
      </c>
      <c r="B181" t="s">
        <v>688</v>
      </c>
    </row>
    <row r="182" spans="1:2">
      <c r="A182" t="s">
        <v>154</v>
      </c>
      <c r="B182" t="s">
        <v>689</v>
      </c>
    </row>
    <row r="183" spans="1:2">
      <c r="A183" t="s">
        <v>65</v>
      </c>
      <c r="B183" t="s">
        <v>690</v>
      </c>
    </row>
    <row r="184" spans="1:2">
      <c r="A184" t="s">
        <v>153</v>
      </c>
      <c r="B184" t="s">
        <v>691</v>
      </c>
    </row>
    <row r="185" spans="1:2">
      <c r="A185" t="s">
        <v>244</v>
      </c>
      <c r="B185" t="s">
        <v>692</v>
      </c>
    </row>
    <row r="186" spans="1:2">
      <c r="A186" t="s">
        <v>64</v>
      </c>
      <c r="B186" t="s">
        <v>693</v>
      </c>
    </row>
    <row r="187" spans="1:2">
      <c r="A187" t="s">
        <v>152</v>
      </c>
      <c r="B187" t="s">
        <v>694</v>
      </c>
    </row>
    <row r="188" spans="1:2">
      <c r="A188" t="s">
        <v>243</v>
      </c>
      <c r="B188" t="s">
        <v>695</v>
      </c>
    </row>
    <row r="189" spans="1:2">
      <c r="A189" t="s">
        <v>63</v>
      </c>
      <c r="B189" t="s">
        <v>696</v>
      </c>
    </row>
    <row r="190" spans="1:2">
      <c r="A190" t="s">
        <v>151</v>
      </c>
      <c r="B190" t="s">
        <v>697</v>
      </c>
    </row>
    <row r="191" spans="1:2">
      <c r="A191" t="s">
        <v>242</v>
      </c>
      <c r="B191" t="s">
        <v>698</v>
      </c>
    </row>
    <row r="192" spans="1:2">
      <c r="A192" t="s">
        <v>38</v>
      </c>
      <c r="B192" t="s">
        <v>699</v>
      </c>
    </row>
    <row r="193" spans="1:2">
      <c r="A193" t="s">
        <v>126</v>
      </c>
      <c r="B193" t="s">
        <v>700</v>
      </c>
    </row>
    <row r="194" spans="1:2">
      <c r="A194" t="s">
        <v>241</v>
      </c>
      <c r="B194" t="s">
        <v>701</v>
      </c>
    </row>
    <row r="195" spans="1:2">
      <c r="A195" t="s">
        <v>240</v>
      </c>
      <c r="B195" t="s">
        <v>702</v>
      </c>
    </row>
    <row r="196" spans="1:2">
      <c r="A196" t="s">
        <v>6</v>
      </c>
      <c r="B196" t="s">
        <v>703</v>
      </c>
    </row>
    <row r="197" spans="1:2">
      <c r="A197" t="s">
        <v>94</v>
      </c>
      <c r="B197" t="s">
        <v>704</v>
      </c>
    </row>
    <row r="198" spans="1:2">
      <c r="A198" t="s">
        <v>7</v>
      </c>
      <c r="B198" t="s">
        <v>705</v>
      </c>
    </row>
    <row r="199" spans="1:2">
      <c r="A199" t="s">
        <v>95</v>
      </c>
      <c r="B199" t="s">
        <v>706</v>
      </c>
    </row>
    <row r="200" spans="1:2">
      <c r="A200" t="s">
        <v>239</v>
      </c>
      <c r="B200" t="s">
        <v>707</v>
      </c>
    </row>
    <row r="201" spans="1:2">
      <c r="A201" t="s">
        <v>238</v>
      </c>
      <c r="B201" t="s">
        <v>708</v>
      </c>
    </row>
    <row r="202" spans="1:2">
      <c r="A202" t="s">
        <v>60</v>
      </c>
      <c r="B202" t="s">
        <v>709</v>
      </c>
    </row>
    <row r="203" spans="1:2">
      <c r="A203" t="s">
        <v>148</v>
      </c>
      <c r="B203" t="s">
        <v>710</v>
      </c>
    </row>
    <row r="204" spans="1:2">
      <c r="A204" t="s">
        <v>435</v>
      </c>
      <c r="B204" t="s">
        <v>711</v>
      </c>
    </row>
    <row r="205" spans="1:2">
      <c r="A205" t="s">
        <v>440</v>
      </c>
      <c r="B205" t="s">
        <v>712</v>
      </c>
    </row>
    <row r="206" spans="1:2">
      <c r="A206" t="s">
        <v>436</v>
      </c>
      <c r="B206" t="s">
        <v>713</v>
      </c>
    </row>
    <row r="207" spans="1:2">
      <c r="A207" t="s">
        <v>441</v>
      </c>
      <c r="B207" t="s">
        <v>714</v>
      </c>
    </row>
    <row r="208" spans="1:2">
      <c r="A208" t="s">
        <v>442</v>
      </c>
      <c r="B208" t="s">
        <v>715</v>
      </c>
    </row>
    <row r="209" spans="1:2">
      <c r="A209" t="s">
        <v>443</v>
      </c>
      <c r="B209" t="s">
        <v>716</v>
      </c>
    </row>
    <row r="210" spans="1:2">
      <c r="A210" t="s">
        <v>444</v>
      </c>
      <c r="B210" t="s">
        <v>717</v>
      </c>
    </row>
    <row r="211" spans="1:2">
      <c r="A211" t="s">
        <v>437</v>
      </c>
      <c r="B211" t="s">
        <v>718</v>
      </c>
    </row>
    <row r="212" spans="1:2">
      <c r="A212" t="s">
        <v>445</v>
      </c>
      <c r="B212" t="s">
        <v>719</v>
      </c>
    </row>
    <row r="213" spans="1:2">
      <c r="A213" t="s">
        <v>446</v>
      </c>
      <c r="B213" t="s">
        <v>720</v>
      </c>
    </row>
    <row r="214" spans="1:2">
      <c r="A214" t="s">
        <v>447</v>
      </c>
      <c r="B214" t="s">
        <v>721</v>
      </c>
    </row>
    <row r="215" spans="1:2">
      <c r="A215" t="s">
        <v>448</v>
      </c>
      <c r="B215" t="s">
        <v>722</v>
      </c>
    </row>
    <row r="216" spans="1:2">
      <c r="A216" t="s">
        <v>450</v>
      </c>
      <c r="B216" t="s">
        <v>723</v>
      </c>
    </row>
    <row r="217" spans="1:2">
      <c r="A217" t="s">
        <v>452</v>
      </c>
      <c r="B217" t="s">
        <v>724</v>
      </c>
    </row>
    <row r="218" spans="1:2">
      <c r="A218" t="s">
        <v>438</v>
      </c>
      <c r="B218" t="s">
        <v>725</v>
      </c>
    </row>
    <row r="219" spans="1:2">
      <c r="A219" t="s">
        <v>454</v>
      </c>
      <c r="B219" t="s">
        <v>726</v>
      </c>
    </row>
    <row r="220" spans="1:2">
      <c r="A220" t="s">
        <v>455</v>
      </c>
      <c r="B220" t="s">
        <v>727</v>
      </c>
    </row>
    <row r="221" spans="1:2">
      <c r="A221" t="s">
        <v>59</v>
      </c>
      <c r="B221" t="s">
        <v>728</v>
      </c>
    </row>
    <row r="222" spans="1:2">
      <c r="A222" t="s">
        <v>147</v>
      </c>
      <c r="B222" t="s">
        <v>729</v>
      </c>
    </row>
    <row r="223" spans="1:2">
      <c r="A223" t="s">
        <v>58</v>
      </c>
      <c r="B223" t="s">
        <v>730</v>
      </c>
    </row>
    <row r="224" spans="1:2">
      <c r="A224" t="s">
        <v>146</v>
      </c>
      <c r="B224" t="s">
        <v>731</v>
      </c>
    </row>
    <row r="225" spans="1:2">
      <c r="A225" t="s">
        <v>434</v>
      </c>
      <c r="B225" t="s">
        <v>732</v>
      </c>
    </row>
    <row r="226" spans="1:2">
      <c r="A226" t="s">
        <v>237</v>
      </c>
      <c r="B226" t="s">
        <v>733</v>
      </c>
    </row>
    <row r="227" spans="1:2">
      <c r="A227" t="s">
        <v>54</v>
      </c>
      <c r="B227" t="s">
        <v>734</v>
      </c>
    </row>
    <row r="228" spans="1:2">
      <c r="A228" t="s">
        <v>142</v>
      </c>
      <c r="B228" t="s">
        <v>735</v>
      </c>
    </row>
    <row r="229" spans="1:2">
      <c r="A229" t="s">
        <v>52</v>
      </c>
      <c r="B229" t="s">
        <v>736</v>
      </c>
    </row>
    <row r="230" spans="1:2">
      <c r="A230" t="s">
        <v>140</v>
      </c>
      <c r="B230" t="s">
        <v>737</v>
      </c>
    </row>
    <row r="231" spans="1:2">
      <c r="A231" t="s">
        <v>236</v>
      </c>
      <c r="B231" t="s">
        <v>738</v>
      </c>
    </row>
    <row r="232" spans="1:2">
      <c r="A232" t="s">
        <v>235</v>
      </c>
      <c r="B232" t="s">
        <v>739</v>
      </c>
    </row>
    <row r="233" spans="1:2">
      <c r="A233" t="s">
        <v>234</v>
      </c>
      <c r="B233" t="s">
        <v>740</v>
      </c>
    </row>
    <row r="234" spans="1:2">
      <c r="A234" t="s">
        <v>50</v>
      </c>
      <c r="B234" t="s">
        <v>741</v>
      </c>
    </row>
    <row r="235" spans="1:2">
      <c r="A235" t="s">
        <v>138</v>
      </c>
      <c r="B235" t="s">
        <v>742</v>
      </c>
    </row>
    <row r="236" spans="1:2">
      <c r="A236" t="s">
        <v>233</v>
      </c>
      <c r="B236" t="s">
        <v>743</v>
      </c>
    </row>
    <row r="237" spans="1:2">
      <c r="A237" t="s">
        <v>460</v>
      </c>
      <c r="B237" t="s">
        <v>744</v>
      </c>
    </row>
    <row r="238" spans="1:2">
      <c r="A238" t="s">
        <v>465</v>
      </c>
      <c r="B238" t="s">
        <v>745</v>
      </c>
    </row>
    <row r="239" spans="1:2">
      <c r="A239" t="s">
        <v>462</v>
      </c>
      <c r="B239" t="s">
        <v>746</v>
      </c>
    </row>
    <row r="240" spans="1:2">
      <c r="A240" t="s">
        <v>467</v>
      </c>
      <c r="B240" t="s">
        <v>747</v>
      </c>
    </row>
    <row r="241" spans="1:2">
      <c r="A241" t="s">
        <v>232</v>
      </c>
      <c r="B241" t="s">
        <v>748</v>
      </c>
    </row>
    <row r="242" spans="1:2">
      <c r="A242" t="s">
        <v>231</v>
      </c>
      <c r="B242" t="s">
        <v>749</v>
      </c>
    </row>
    <row r="243" spans="1:2">
      <c r="A243" t="s">
        <v>86</v>
      </c>
      <c r="B243" t="s">
        <v>750</v>
      </c>
    </row>
    <row r="244" spans="1:2">
      <c r="A244" t="s">
        <v>175</v>
      </c>
      <c r="B244" t="s">
        <v>751</v>
      </c>
    </row>
    <row r="245" spans="1:2">
      <c r="A245" t="s">
        <v>82</v>
      </c>
      <c r="B245" t="s">
        <v>752</v>
      </c>
    </row>
    <row r="246" spans="1:2">
      <c r="A246" t="s">
        <v>171</v>
      </c>
      <c r="B246" t="s">
        <v>753</v>
      </c>
    </row>
    <row r="247" spans="1:2">
      <c r="A247" t="s">
        <v>27</v>
      </c>
      <c r="B247" t="s">
        <v>754</v>
      </c>
    </row>
    <row r="248" spans="1:2">
      <c r="A248" t="s">
        <v>115</v>
      </c>
      <c r="B248" t="s">
        <v>755</v>
      </c>
    </row>
    <row r="249" spans="1:2">
      <c r="A249" t="s">
        <v>61</v>
      </c>
      <c r="B249" t="s">
        <v>756</v>
      </c>
    </row>
    <row r="250" spans="1:2">
      <c r="A250" t="s">
        <v>149</v>
      </c>
      <c r="B250" t="s">
        <v>757</v>
      </c>
    </row>
    <row r="251" spans="1:2">
      <c r="A251" t="s">
        <v>25</v>
      </c>
      <c r="B251" t="s">
        <v>758</v>
      </c>
    </row>
    <row r="252" spans="1:2">
      <c r="A252" t="s">
        <v>113</v>
      </c>
      <c r="B252" t="s">
        <v>759</v>
      </c>
    </row>
    <row r="253" spans="1:2">
      <c r="A253" t="s">
        <v>24</v>
      </c>
      <c r="B253" t="s">
        <v>760</v>
      </c>
    </row>
    <row r="254" spans="1:2">
      <c r="A254" t="s">
        <v>112</v>
      </c>
      <c r="B254" t="s">
        <v>761</v>
      </c>
    </row>
    <row r="255" spans="1:2">
      <c r="A255" t="s">
        <v>230</v>
      </c>
      <c r="B255" t="s">
        <v>762</v>
      </c>
    </row>
    <row r="256" spans="1:2">
      <c r="A256" t="s">
        <v>53</v>
      </c>
      <c r="B256" t="s">
        <v>763</v>
      </c>
    </row>
    <row r="257" spans="1:2">
      <c r="A257" t="s">
        <v>141</v>
      </c>
      <c r="B257" t="s">
        <v>764</v>
      </c>
    </row>
    <row r="258" spans="1:2">
      <c r="A258" t="s">
        <v>229</v>
      </c>
      <c r="B258" t="s">
        <v>765</v>
      </c>
    </row>
    <row r="259" spans="1:2">
      <c r="A259" t="s">
        <v>228</v>
      </c>
      <c r="B259" t="s">
        <v>766</v>
      </c>
    </row>
    <row r="260" spans="1:2">
      <c r="A260" t="s">
        <v>49</v>
      </c>
      <c r="B260" t="s">
        <v>767</v>
      </c>
    </row>
    <row r="261" spans="1:2">
      <c r="A261" t="s">
        <v>137</v>
      </c>
      <c r="B261" t="s">
        <v>768</v>
      </c>
    </row>
    <row r="262" spans="1:2">
      <c r="A262" t="s">
        <v>227</v>
      </c>
      <c r="B262" t="s">
        <v>769</v>
      </c>
    </row>
    <row r="263" spans="1:2">
      <c r="A263" t="s">
        <v>46</v>
      </c>
      <c r="B263" t="s">
        <v>770</v>
      </c>
    </row>
    <row r="264" spans="1:2">
      <c r="A264" t="s">
        <v>134</v>
      </c>
      <c r="B264" t="s">
        <v>771</v>
      </c>
    </row>
    <row r="265" spans="1:2">
      <c r="A265" t="s">
        <v>37</v>
      </c>
      <c r="B265" t="s">
        <v>494</v>
      </c>
    </row>
    <row r="266" spans="1:2">
      <c r="A266" t="s">
        <v>125</v>
      </c>
      <c r="B266" t="s">
        <v>772</v>
      </c>
    </row>
    <row r="267" spans="1:2">
      <c r="A267" t="s">
        <v>226</v>
      </c>
      <c r="B267" t="s">
        <v>773</v>
      </c>
    </row>
    <row r="268" spans="1:2">
      <c r="A268" t="s">
        <v>225</v>
      </c>
      <c r="B268" t="s">
        <v>774</v>
      </c>
    </row>
    <row r="269" spans="1:2">
      <c r="A269" t="s">
        <v>44</v>
      </c>
      <c r="B269" t="s">
        <v>775</v>
      </c>
    </row>
    <row r="270" spans="1:2">
      <c r="A270" t="s">
        <v>132</v>
      </c>
      <c r="B270" t="s">
        <v>776</v>
      </c>
    </row>
    <row r="271" spans="1:2">
      <c r="A271" t="s">
        <v>224</v>
      </c>
      <c r="B271" t="s">
        <v>777</v>
      </c>
    </row>
    <row r="272" spans="1:2">
      <c r="A272" t="s">
        <v>223</v>
      </c>
      <c r="B272" t="s">
        <v>778</v>
      </c>
    </row>
    <row r="273" spans="1:2">
      <c r="A273" t="s">
        <v>222</v>
      </c>
      <c r="B273" t="s">
        <v>779</v>
      </c>
    </row>
    <row r="274" spans="1:2">
      <c r="A274" t="s">
        <v>221</v>
      </c>
      <c r="B274" t="s">
        <v>780</v>
      </c>
    </row>
    <row r="275" spans="1:2">
      <c r="A275" t="s">
        <v>220</v>
      </c>
      <c r="B275" t="s">
        <v>781</v>
      </c>
    </row>
    <row r="276" spans="1:2">
      <c r="A276" t="s">
        <v>219</v>
      </c>
      <c r="B276" t="s">
        <v>782</v>
      </c>
    </row>
    <row r="277" spans="1:2">
      <c r="A277" t="s">
        <v>218</v>
      </c>
      <c r="B277" t="s">
        <v>783</v>
      </c>
    </row>
    <row r="278" spans="1:2">
      <c r="A278" t="s">
        <v>217</v>
      </c>
      <c r="B278" t="s">
        <v>784</v>
      </c>
    </row>
    <row r="279" spans="1:2">
      <c r="A279" t="s">
        <v>216</v>
      </c>
      <c r="B279" t="s">
        <v>785</v>
      </c>
    </row>
    <row r="280" spans="1:2">
      <c r="A280" t="s">
        <v>215</v>
      </c>
      <c r="B280" t="s">
        <v>786</v>
      </c>
    </row>
    <row r="281" spans="1:2">
      <c r="A281" t="s">
        <v>214</v>
      </c>
      <c r="B281" t="s">
        <v>787</v>
      </c>
    </row>
    <row r="282" spans="1:2">
      <c r="A282" t="s">
        <v>0</v>
      </c>
      <c r="B282" t="s">
        <v>788</v>
      </c>
    </row>
    <row r="283" spans="1:2">
      <c r="A283" t="s">
        <v>88</v>
      </c>
      <c r="B283" t="s">
        <v>789</v>
      </c>
    </row>
    <row r="284" spans="1:2">
      <c r="A284" t="s">
        <v>213</v>
      </c>
      <c r="B284" t="s">
        <v>790</v>
      </c>
    </row>
    <row r="285" spans="1:2">
      <c r="A285" t="s">
        <v>212</v>
      </c>
      <c r="B285" t="s">
        <v>791</v>
      </c>
    </row>
    <row r="286" spans="1:2">
      <c r="A286" t="s">
        <v>87</v>
      </c>
      <c r="B286" t="s">
        <v>792</v>
      </c>
    </row>
    <row r="287" spans="1:2">
      <c r="A287" t="s">
        <v>176</v>
      </c>
      <c r="B287" t="s">
        <v>793</v>
      </c>
    </row>
    <row r="288" spans="1:2">
      <c r="A288" t="s">
        <v>83</v>
      </c>
      <c r="B288" t="s">
        <v>794</v>
      </c>
    </row>
    <row r="289" spans="1:2">
      <c r="A289" t="s">
        <v>172</v>
      </c>
      <c r="B289" t="s">
        <v>795</v>
      </c>
    </row>
    <row r="290" spans="1:2">
      <c r="A290" t="s">
        <v>74</v>
      </c>
      <c r="B290" t="s">
        <v>796</v>
      </c>
    </row>
    <row r="291" spans="1:2">
      <c r="A291" t="s">
        <v>162</v>
      </c>
      <c r="B291" t="s">
        <v>797</v>
      </c>
    </row>
    <row r="292" spans="1:2">
      <c r="A292" t="s">
        <v>28</v>
      </c>
      <c r="B292" t="s">
        <v>798</v>
      </c>
    </row>
    <row r="293" spans="1:2">
      <c r="A293" t="s">
        <v>116</v>
      </c>
      <c r="B293" t="s">
        <v>799</v>
      </c>
    </row>
    <row r="294" spans="1:2">
      <c r="A294" t="s">
        <v>26</v>
      </c>
      <c r="B294" t="s">
        <v>800</v>
      </c>
    </row>
    <row r="295" spans="1:2">
      <c r="A295" t="s">
        <v>114</v>
      </c>
      <c r="B295" t="s">
        <v>801</v>
      </c>
    </row>
    <row r="296" spans="1:2">
      <c r="A296" t="s">
        <v>48</v>
      </c>
      <c r="B296" t="s">
        <v>802</v>
      </c>
    </row>
    <row r="297" spans="1:2">
      <c r="A297" t="s">
        <v>136</v>
      </c>
      <c r="B297" t="s">
        <v>803</v>
      </c>
    </row>
    <row r="298" spans="1:2">
      <c r="A298" t="s">
        <v>36</v>
      </c>
      <c r="B298" t="s">
        <v>804</v>
      </c>
    </row>
    <row r="299" spans="1:2">
      <c r="A299" t="s">
        <v>124</v>
      </c>
      <c r="B299" t="s">
        <v>805</v>
      </c>
    </row>
    <row r="300" spans="1:2">
      <c r="A300" t="s">
        <v>2</v>
      </c>
      <c r="B300" t="s">
        <v>806</v>
      </c>
    </row>
    <row r="301" spans="1:2">
      <c r="A301" t="s">
        <v>90</v>
      </c>
      <c r="B301" t="s">
        <v>807</v>
      </c>
    </row>
    <row r="302" spans="1:2">
      <c r="A302" t="s">
        <v>47</v>
      </c>
      <c r="B302" t="s">
        <v>808</v>
      </c>
    </row>
    <row r="303" spans="1:2">
      <c r="A303" t="s">
        <v>135</v>
      </c>
      <c r="B303" t="s">
        <v>809</v>
      </c>
    </row>
    <row r="304" spans="1:2">
      <c r="A304" t="s">
        <v>42</v>
      </c>
      <c r="B304" t="s">
        <v>810</v>
      </c>
    </row>
    <row r="305" spans="1:2">
      <c r="A305" t="s">
        <v>130</v>
      </c>
      <c r="B305" t="s">
        <v>811</v>
      </c>
    </row>
    <row r="306" spans="1:2">
      <c r="A306" t="s">
        <v>211</v>
      </c>
      <c r="B306" t="s">
        <v>812</v>
      </c>
    </row>
    <row r="307" spans="1:2">
      <c r="A307" t="s">
        <v>210</v>
      </c>
      <c r="B307" t="s">
        <v>813</v>
      </c>
    </row>
    <row r="308" spans="1:2">
      <c r="A308" t="s">
        <v>209</v>
      </c>
      <c r="B308" t="s">
        <v>814</v>
      </c>
    </row>
    <row r="309" spans="1:2">
      <c r="A309" t="s">
        <v>208</v>
      </c>
      <c r="B309" t="s">
        <v>815</v>
      </c>
    </row>
    <row r="310" spans="1:2">
      <c r="A310" t="s">
        <v>41</v>
      </c>
      <c r="B310" t="s">
        <v>816</v>
      </c>
    </row>
    <row r="311" spans="1:2">
      <c r="A311" t="s">
        <v>129</v>
      </c>
      <c r="B311" t="s">
        <v>817</v>
      </c>
    </row>
    <row r="312" spans="1:2">
      <c r="A312" t="s">
        <v>207</v>
      </c>
      <c r="B312" t="s">
        <v>818</v>
      </c>
    </row>
    <row r="313" spans="1:2">
      <c r="A313" t="s">
        <v>39</v>
      </c>
      <c r="B313" t="s">
        <v>819</v>
      </c>
    </row>
    <row r="314" spans="1:2">
      <c r="A314" t="s">
        <v>127</v>
      </c>
      <c r="B314" t="s">
        <v>820</v>
      </c>
    </row>
    <row r="315" spans="1:2">
      <c r="A315" t="s">
        <v>206</v>
      </c>
      <c r="B315" t="s">
        <v>821</v>
      </c>
    </row>
    <row r="316" spans="1:2">
      <c r="A316" t="s">
        <v>35</v>
      </c>
      <c r="B316" t="s">
        <v>822</v>
      </c>
    </row>
    <row r="317" spans="1:2">
      <c r="A317" t="s">
        <v>123</v>
      </c>
      <c r="B317" t="s">
        <v>823</v>
      </c>
    </row>
    <row r="318" spans="1:2">
      <c r="A318" t="s">
        <v>205</v>
      </c>
      <c r="B318" t="s">
        <v>824</v>
      </c>
    </row>
    <row r="319" spans="1:2">
      <c r="A319" t="s">
        <v>79</v>
      </c>
      <c r="B319" t="s">
        <v>825</v>
      </c>
    </row>
    <row r="320" spans="1:2">
      <c r="A320" t="s">
        <v>167</v>
      </c>
      <c r="B320" t="s">
        <v>826</v>
      </c>
    </row>
    <row r="321" spans="1:2">
      <c r="A321" t="s">
        <v>78</v>
      </c>
      <c r="B321" t="s">
        <v>827</v>
      </c>
    </row>
    <row r="322" spans="1:2">
      <c r="A322" t="s">
        <v>166</v>
      </c>
      <c r="B322" t="s">
        <v>828</v>
      </c>
    </row>
    <row r="323" spans="1:2">
      <c r="A323" t="s">
        <v>45</v>
      </c>
      <c r="B323" t="s">
        <v>829</v>
      </c>
    </row>
    <row r="324" spans="1:2">
      <c r="A324" t="s">
        <v>133</v>
      </c>
      <c r="B324" t="s">
        <v>830</v>
      </c>
    </row>
    <row r="325" spans="1:2">
      <c r="A325" t="s">
        <v>40</v>
      </c>
      <c r="B325" t="s">
        <v>831</v>
      </c>
    </row>
    <row r="326" spans="1:2">
      <c r="A326" t="s">
        <v>128</v>
      </c>
      <c r="B326" t="s">
        <v>832</v>
      </c>
    </row>
    <row r="327" spans="1:2">
      <c r="A327" t="s">
        <v>21</v>
      </c>
      <c r="B327" t="s">
        <v>833</v>
      </c>
    </row>
    <row r="328" spans="1:2">
      <c r="A328" t="s">
        <v>109</v>
      </c>
      <c r="B328" t="s">
        <v>834</v>
      </c>
    </row>
    <row r="329" spans="1:2">
      <c r="A329" t="s">
        <v>20</v>
      </c>
      <c r="B329" t="s">
        <v>835</v>
      </c>
    </row>
    <row r="330" spans="1:2">
      <c r="A330" t="s">
        <v>108</v>
      </c>
      <c r="B330" t="s">
        <v>836</v>
      </c>
    </row>
    <row r="331" spans="1:2">
      <c r="A331" t="s">
        <v>17</v>
      </c>
      <c r="B331" t="s">
        <v>837</v>
      </c>
    </row>
    <row r="332" spans="1:2">
      <c r="A332" t="s">
        <v>105</v>
      </c>
      <c r="B332" t="s">
        <v>838</v>
      </c>
    </row>
    <row r="333" spans="1:2">
      <c r="A333" t="s">
        <v>16</v>
      </c>
      <c r="B333" t="s">
        <v>839</v>
      </c>
    </row>
    <row r="334" spans="1:2">
      <c r="A334" t="s">
        <v>104</v>
      </c>
      <c r="B334" t="s">
        <v>840</v>
      </c>
    </row>
    <row r="335" spans="1:2">
      <c r="A335" t="s">
        <v>14</v>
      </c>
      <c r="B335" t="s">
        <v>841</v>
      </c>
    </row>
    <row r="336" spans="1:2">
      <c r="A336" t="s">
        <v>102</v>
      </c>
      <c r="B336" t="s">
        <v>842</v>
      </c>
    </row>
    <row r="337" spans="1:2">
      <c r="A337" t="s">
        <v>204</v>
      </c>
      <c r="B337" t="s">
        <v>843</v>
      </c>
    </row>
    <row r="338" spans="1:2">
      <c r="A338" t="s">
        <v>203</v>
      </c>
      <c r="B338" t="s">
        <v>844</v>
      </c>
    </row>
    <row r="339" spans="1:2">
      <c r="A339" t="s">
        <v>202</v>
      </c>
      <c r="B339" t="s">
        <v>845</v>
      </c>
    </row>
    <row r="340" spans="1:2">
      <c r="A340" t="s">
        <v>201</v>
      </c>
      <c r="B340" t="s">
        <v>846</v>
      </c>
    </row>
    <row r="341" spans="1:2">
      <c r="A341" t="s">
        <v>200</v>
      </c>
      <c r="B341" t="s">
        <v>847</v>
      </c>
    </row>
    <row r="342" spans="1:2">
      <c r="A342" t="s">
        <v>33</v>
      </c>
      <c r="B342" t="s">
        <v>848</v>
      </c>
    </row>
    <row r="343" spans="1:2">
      <c r="A343" t="s">
        <v>121</v>
      </c>
      <c r="B343" t="s">
        <v>849</v>
      </c>
    </row>
    <row r="344" spans="1:2">
      <c r="A344" t="s">
        <v>199</v>
      </c>
      <c r="B344" t="s">
        <v>850</v>
      </c>
    </row>
    <row r="345" spans="1:2">
      <c r="A345" t="s">
        <v>30</v>
      </c>
      <c r="B345" t="s">
        <v>851</v>
      </c>
    </row>
    <row r="346" spans="1:2">
      <c r="A346" t="s">
        <v>118</v>
      </c>
      <c r="B346" t="s">
        <v>852</v>
      </c>
    </row>
    <row r="347" spans="1:2">
      <c r="A347" t="s">
        <v>198</v>
      </c>
      <c r="B347" t="s">
        <v>853</v>
      </c>
    </row>
    <row r="348" spans="1:2">
      <c r="A348" t="s">
        <v>197</v>
      </c>
      <c r="B348" t="s">
        <v>854</v>
      </c>
    </row>
    <row r="349" spans="1:2">
      <c r="A349" t="s">
        <v>32</v>
      </c>
      <c r="B349" t="s">
        <v>855</v>
      </c>
    </row>
    <row r="350" spans="1:2">
      <c r="A350" t="s">
        <v>120</v>
      </c>
      <c r="B350" t="s">
        <v>856</v>
      </c>
    </row>
    <row r="351" spans="1:2">
      <c r="A351" t="s">
        <v>31</v>
      </c>
      <c r="B351" t="s">
        <v>857</v>
      </c>
    </row>
    <row r="352" spans="1:2">
      <c r="A352" t="s">
        <v>119</v>
      </c>
      <c r="B352" t="s">
        <v>858</v>
      </c>
    </row>
    <row r="353" spans="1:2">
      <c r="A353" t="s">
        <v>62</v>
      </c>
      <c r="B353" t="s">
        <v>859</v>
      </c>
    </row>
    <row r="354" spans="1:2">
      <c r="A354" t="s">
        <v>150</v>
      </c>
      <c r="B354" t="s">
        <v>860</v>
      </c>
    </row>
    <row r="355" spans="1:2">
      <c r="A355" t="s">
        <v>57</v>
      </c>
      <c r="B355" t="s">
        <v>861</v>
      </c>
    </row>
    <row r="356" spans="1:2">
      <c r="A356" t="s">
        <v>145</v>
      </c>
      <c r="B356" t="s">
        <v>862</v>
      </c>
    </row>
    <row r="357" spans="1:2">
      <c r="A357" t="s">
        <v>457</v>
      </c>
      <c r="B357" t="s">
        <v>863</v>
      </c>
    </row>
    <row r="358" spans="1:2">
      <c r="A358" t="s">
        <v>196</v>
      </c>
      <c r="B358" t="s">
        <v>864</v>
      </c>
    </row>
    <row r="359" spans="1:2">
      <c r="A359" t="s">
        <v>195</v>
      </c>
      <c r="B359" t="s">
        <v>865</v>
      </c>
    </row>
    <row r="360" spans="1:2">
      <c r="A360" t="s">
        <v>194</v>
      </c>
      <c r="B360" t="s">
        <v>866</v>
      </c>
    </row>
    <row r="361" spans="1:2">
      <c r="A361" t="s">
        <v>193</v>
      </c>
      <c r="B361" t="s">
        <v>867</v>
      </c>
    </row>
    <row r="362" spans="1:2">
      <c r="A362" t="s">
        <v>8</v>
      </c>
      <c r="B362" t="s">
        <v>868</v>
      </c>
    </row>
    <row r="363" spans="1:2">
      <c r="A363" t="s">
        <v>96</v>
      </c>
      <c r="B363" t="s">
        <v>869</v>
      </c>
    </row>
    <row r="364" spans="1:2">
      <c r="A364" t="s">
        <v>192</v>
      </c>
      <c r="B364" t="s">
        <v>870</v>
      </c>
    </row>
    <row r="365" spans="1:2">
      <c r="A365" t="s">
        <v>191</v>
      </c>
      <c r="B365" t="s">
        <v>871</v>
      </c>
    </row>
    <row r="366" spans="1:2">
      <c r="A366" t="s">
        <v>29</v>
      </c>
      <c r="B366" t="s">
        <v>872</v>
      </c>
    </row>
    <row r="367" spans="1:2">
      <c r="A367" t="s">
        <v>117</v>
      </c>
      <c r="B367" t="s">
        <v>873</v>
      </c>
    </row>
    <row r="368" spans="1:2">
      <c r="A368" t="s">
        <v>190</v>
      </c>
      <c r="B368" t="s">
        <v>874</v>
      </c>
    </row>
    <row r="369" spans="1:2">
      <c r="A369" t="s">
        <v>189</v>
      </c>
      <c r="B369" t="s">
        <v>875</v>
      </c>
    </row>
    <row r="370" spans="1:2">
      <c r="A370" t="s">
        <v>23</v>
      </c>
      <c r="B370" t="s">
        <v>876</v>
      </c>
    </row>
    <row r="371" spans="1:2">
      <c r="A371" t="s">
        <v>111</v>
      </c>
      <c r="B371" t="s">
        <v>877</v>
      </c>
    </row>
    <row r="372" spans="1:2">
      <c r="A372" t="s">
        <v>22</v>
      </c>
      <c r="B372" t="s">
        <v>878</v>
      </c>
    </row>
    <row r="373" spans="1:2">
      <c r="A373" t="s">
        <v>110</v>
      </c>
      <c r="B373" t="s">
        <v>879</v>
      </c>
    </row>
    <row r="374" spans="1:2">
      <c r="A374" t="s">
        <v>19</v>
      </c>
      <c r="B374" t="s">
        <v>880</v>
      </c>
    </row>
    <row r="375" spans="1:2">
      <c r="A375" t="s">
        <v>107</v>
      </c>
      <c r="B375" t="s">
        <v>881</v>
      </c>
    </row>
    <row r="376" spans="1:2">
      <c r="A376" t="s">
        <v>188</v>
      </c>
      <c r="B376" t="s">
        <v>882</v>
      </c>
    </row>
    <row r="377" spans="1:2">
      <c r="A377" t="s">
        <v>187</v>
      </c>
      <c r="B377" t="s">
        <v>883</v>
      </c>
    </row>
    <row r="378" spans="1:2">
      <c r="A378" t="s">
        <v>18</v>
      </c>
      <c r="B378" t="s">
        <v>884</v>
      </c>
    </row>
    <row r="379" spans="1:2">
      <c r="A379" t="s">
        <v>106</v>
      </c>
      <c r="B379" t="s">
        <v>885</v>
      </c>
    </row>
    <row r="380" spans="1:2">
      <c r="A380" t="s">
        <v>186</v>
      </c>
      <c r="B380" t="s">
        <v>886</v>
      </c>
    </row>
    <row r="381" spans="1:2">
      <c r="A381" t="s">
        <v>185</v>
      </c>
      <c r="B381" t="s">
        <v>887</v>
      </c>
    </row>
    <row r="382" spans="1:2">
      <c r="A382" t="s">
        <v>184</v>
      </c>
      <c r="B382" t="s">
        <v>888</v>
      </c>
    </row>
    <row r="383" spans="1:2">
      <c r="A383" t="s">
        <v>183</v>
      </c>
      <c r="B383" t="s">
        <v>889</v>
      </c>
    </row>
    <row r="384" spans="1:2">
      <c r="A384" t="s">
        <v>15</v>
      </c>
      <c r="B384" t="s">
        <v>890</v>
      </c>
    </row>
    <row r="385" spans="1:2">
      <c r="A385" t="s">
        <v>103</v>
      </c>
      <c r="B385" t="s">
        <v>891</v>
      </c>
    </row>
    <row r="386" spans="1:2">
      <c r="A386" t="s">
        <v>182</v>
      </c>
      <c r="B386" t="s">
        <v>892</v>
      </c>
    </row>
    <row r="387" spans="1:2">
      <c r="A387" t="s">
        <v>13</v>
      </c>
      <c r="B387" t="s">
        <v>893</v>
      </c>
    </row>
    <row r="388" spans="1:2">
      <c r="A388" t="s">
        <v>101</v>
      </c>
      <c r="B388" t="s">
        <v>894</v>
      </c>
    </row>
    <row r="389" spans="1:2">
      <c r="A389" t="s">
        <v>459</v>
      </c>
      <c r="B389" t="s">
        <v>895</v>
      </c>
    </row>
    <row r="390" spans="1:2">
      <c r="A390" t="s">
        <v>12</v>
      </c>
      <c r="B390" t="s">
        <v>896</v>
      </c>
    </row>
    <row r="391" spans="1:2">
      <c r="A391" t="s">
        <v>100</v>
      </c>
      <c r="B391" t="s">
        <v>897</v>
      </c>
    </row>
    <row r="392" spans="1:2">
      <c r="A392" t="s">
        <v>11</v>
      </c>
      <c r="B392" t="s">
        <v>898</v>
      </c>
    </row>
    <row r="393" spans="1:2">
      <c r="A393" t="s">
        <v>99</v>
      </c>
      <c r="B393" t="s">
        <v>899</v>
      </c>
    </row>
    <row r="394" spans="1:2">
      <c r="A394" t="s">
        <v>10</v>
      </c>
      <c r="B394" t="s">
        <v>900</v>
      </c>
    </row>
    <row r="395" spans="1:2">
      <c r="A395" t="s">
        <v>98</v>
      </c>
      <c r="B395" t="s">
        <v>901</v>
      </c>
    </row>
    <row r="396" spans="1:2">
      <c r="A396" t="s">
        <v>9</v>
      </c>
      <c r="B396" t="s">
        <v>902</v>
      </c>
    </row>
    <row r="397" spans="1:2">
      <c r="A397" t="s">
        <v>97</v>
      </c>
      <c r="B397" t="s">
        <v>903</v>
      </c>
    </row>
    <row r="398" spans="1:2">
      <c r="A398" t="s">
        <v>479</v>
      </c>
      <c r="B398" t="s">
        <v>904</v>
      </c>
    </row>
    <row r="399" spans="1:2">
      <c r="A399" t="s">
        <v>480</v>
      </c>
      <c r="B399" t="s">
        <v>905</v>
      </c>
    </row>
    <row r="400" spans="1:2">
      <c r="A400" t="s">
        <v>478</v>
      </c>
      <c r="B400" t="s">
        <v>906</v>
      </c>
    </row>
    <row r="401" spans="1:2">
      <c r="A401" t="s">
        <v>481</v>
      </c>
      <c r="B401" t="s">
        <v>907</v>
      </c>
    </row>
    <row r="402" spans="1:2">
      <c r="A402" t="s">
        <v>484</v>
      </c>
      <c r="B402" t="s">
        <v>908</v>
      </c>
    </row>
    <row r="403" spans="1:2">
      <c r="A403" t="s">
        <v>485</v>
      </c>
      <c r="B403" t="s">
        <v>909</v>
      </c>
    </row>
    <row r="404" spans="1:2">
      <c r="A404" t="s">
        <v>482</v>
      </c>
      <c r="B404" t="s">
        <v>910</v>
      </c>
    </row>
    <row r="405" spans="1:2">
      <c r="A405" t="s">
        <v>483</v>
      </c>
      <c r="B405" t="s">
        <v>911</v>
      </c>
    </row>
    <row r="406" spans="1:2">
      <c r="A406" t="s">
        <v>486</v>
      </c>
      <c r="B406" t="s">
        <v>912</v>
      </c>
    </row>
    <row r="407" spans="1:2">
      <c r="A407" t="s">
        <v>487</v>
      </c>
      <c r="B407" t="s">
        <v>913</v>
      </c>
    </row>
    <row r="408" spans="1:2">
      <c r="A408" t="s">
        <v>488</v>
      </c>
      <c r="B408" t="s">
        <v>914</v>
      </c>
    </row>
    <row r="409" spans="1:2">
      <c r="A409" t="s">
        <v>489</v>
      </c>
      <c r="B409" t="s">
        <v>915</v>
      </c>
    </row>
    <row r="410" spans="1:2">
      <c r="A410" t="s">
        <v>55</v>
      </c>
      <c r="B410" t="s">
        <v>916</v>
      </c>
    </row>
    <row r="411" spans="1:2">
      <c r="A411" t="s">
        <v>143</v>
      </c>
      <c r="B411" t="s">
        <v>917</v>
      </c>
    </row>
    <row r="412" spans="1:2">
      <c r="A412" t="s">
        <v>56</v>
      </c>
      <c r="B412" t="s">
        <v>916</v>
      </c>
    </row>
    <row r="413" spans="1:2">
      <c r="A413" t="s">
        <v>144</v>
      </c>
      <c r="B413" t="s">
        <v>917</v>
      </c>
    </row>
    <row r="414" spans="1:2">
      <c r="A414" t="s">
        <v>43</v>
      </c>
      <c r="B414" t="s">
        <v>918</v>
      </c>
    </row>
    <row r="415" spans="1:2">
      <c r="A415" t="s">
        <v>131</v>
      </c>
      <c r="B415" t="s">
        <v>919</v>
      </c>
    </row>
    <row r="416" spans="1:2">
      <c r="A416" t="s">
        <v>181</v>
      </c>
      <c r="B416" t="s">
        <v>920</v>
      </c>
    </row>
    <row r="417" spans="1:2">
      <c r="A417" t="s">
        <v>4</v>
      </c>
      <c r="B417" t="s">
        <v>921</v>
      </c>
    </row>
    <row r="418" spans="1:2">
      <c r="A418" t="s">
        <v>92</v>
      </c>
      <c r="B418" t="s">
        <v>922</v>
      </c>
    </row>
    <row r="419" spans="1:2">
      <c r="A419" t="s">
        <v>180</v>
      </c>
      <c r="B419" t="s">
        <v>923</v>
      </c>
    </row>
    <row r="420" spans="1:2">
      <c r="A420" t="s">
        <v>5</v>
      </c>
      <c r="B420" t="s">
        <v>924</v>
      </c>
    </row>
    <row r="421" spans="1:2">
      <c r="A421" t="s">
        <v>93</v>
      </c>
      <c r="B421" t="s">
        <v>925</v>
      </c>
    </row>
    <row r="422" spans="1:2">
      <c r="A422" t="s">
        <v>1</v>
      </c>
      <c r="B422" t="s">
        <v>926</v>
      </c>
    </row>
    <row r="423" spans="1:2">
      <c r="A423" t="s">
        <v>89</v>
      </c>
      <c r="B423" t="s">
        <v>927</v>
      </c>
    </row>
    <row r="424" spans="1:2">
      <c r="A424" t="s">
        <v>179</v>
      </c>
      <c r="B424" t="s">
        <v>928</v>
      </c>
    </row>
    <row r="425" spans="1:2">
      <c r="A425" t="s">
        <v>178</v>
      </c>
      <c r="B425" t="s">
        <v>501</v>
      </c>
    </row>
    <row r="426" spans="1:2">
      <c r="A426" t="s">
        <v>500</v>
      </c>
      <c r="B426" t="s">
        <v>501</v>
      </c>
    </row>
    <row r="427" spans="1:2">
      <c r="A427" t="s">
        <v>177</v>
      </c>
      <c r="B427" t="s">
        <v>929</v>
      </c>
    </row>
    <row r="428" spans="1:2">
      <c r="A428" t="s">
        <v>303</v>
      </c>
      <c r="B428" t="s">
        <v>615</v>
      </c>
    </row>
    <row r="429" spans="1:2">
      <c r="A429" t="s">
        <v>491</v>
      </c>
      <c r="B429" t="s">
        <v>491</v>
      </c>
    </row>
  </sheetData>
  <autoFilter ref="A2:B2" xr:uid="{2A774EB2-D080-42B2-821E-786B58B52901}"/>
  <conditionalFormatting sqref="A1:A2 A6:A1048576">
    <cfRule type="containsText" dxfId="9" priority="3" operator="containsText" text="_cam_">
      <formula>NOT(ISERROR(SEARCH("_cam_",A1)))</formula>
    </cfRule>
  </conditionalFormatting>
  <conditionalFormatting sqref="B2:C2">
    <cfRule type="containsText" dxfId="8" priority="2" operator="containsText" text="_cam_">
      <formula>NOT(ISERROR(SEARCH("_cam_",B2)))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32145-4FCA-45BE-A27F-211D1CC84E45}">
  <dimension ref="A1:F148"/>
  <sheetViews>
    <sheetView workbookViewId="0">
      <selection activeCell="E1" sqref="E1:F1048576"/>
    </sheetView>
  </sheetViews>
  <sheetFormatPr defaultRowHeight="14.25"/>
  <cols>
    <col min="1" max="1" width="51.75" customWidth="1"/>
    <col min="2" max="2" width="48.5" customWidth="1"/>
    <col min="5" max="5" width="51" style="14" customWidth="1"/>
    <col min="6" max="6" width="25.25" customWidth="1"/>
  </cols>
  <sheetData>
    <row r="1" spans="1:6" ht="15">
      <c r="A1" t="s">
        <v>470</v>
      </c>
      <c r="E1" s="13" t="s">
        <v>330</v>
      </c>
      <c r="F1" s="11" t="s">
        <v>282</v>
      </c>
    </row>
    <row r="2" spans="1:6" ht="15">
      <c r="A2" t="s">
        <v>469</v>
      </c>
      <c r="E2" s="13" t="s">
        <v>491</v>
      </c>
      <c r="F2" s="11" t="s">
        <v>491</v>
      </c>
    </row>
    <row r="3" spans="1:6">
      <c r="E3" s="14" t="s">
        <v>506</v>
      </c>
      <c r="F3" t="s">
        <v>505</v>
      </c>
    </row>
    <row r="4" spans="1:6">
      <c r="E4" s="14" t="s">
        <v>508</v>
      </c>
      <c r="F4" s="14" t="s">
        <v>507</v>
      </c>
    </row>
    <row r="5" spans="1:6">
      <c r="E5" s="14" t="s">
        <v>510</v>
      </c>
      <c r="F5" t="s">
        <v>509</v>
      </c>
    </row>
    <row r="6" spans="1:6">
      <c r="A6" t="s">
        <v>1076</v>
      </c>
      <c r="B6" s="12" t="s">
        <v>568</v>
      </c>
      <c r="E6" s="14" t="s">
        <v>512</v>
      </c>
      <c r="F6" t="s">
        <v>511</v>
      </c>
    </row>
    <row r="7" spans="1:6">
      <c r="A7" t="s">
        <v>1077</v>
      </c>
      <c r="B7" s="12" t="s">
        <v>1078</v>
      </c>
      <c r="E7" s="14" t="s">
        <v>514</v>
      </c>
      <c r="F7" t="s">
        <v>513</v>
      </c>
    </row>
    <row r="8" spans="1:6">
      <c r="A8" s="15" t="s">
        <v>1082</v>
      </c>
      <c r="B8" s="12" t="s">
        <v>572</v>
      </c>
      <c r="E8" s="14" t="s">
        <v>516</v>
      </c>
      <c r="F8" t="s">
        <v>515</v>
      </c>
    </row>
    <row r="9" spans="1:6">
      <c r="A9" s="15" t="s">
        <v>1203</v>
      </c>
      <c r="B9" s="12" t="s">
        <v>573</v>
      </c>
      <c r="E9" s="14" t="s">
        <v>1206</v>
      </c>
      <c r="F9" t="s">
        <v>517</v>
      </c>
    </row>
    <row r="10" spans="1:6">
      <c r="E10" s="14" t="s">
        <v>519</v>
      </c>
      <c r="F10" t="s">
        <v>518</v>
      </c>
    </row>
    <row r="11" spans="1:6">
      <c r="A11" t="s">
        <v>1079</v>
      </c>
      <c r="E11" s="14" t="s">
        <v>521</v>
      </c>
      <c r="F11" t="s">
        <v>520</v>
      </c>
    </row>
    <row r="12" spans="1:6">
      <c r="E12" s="14" t="s">
        <v>1040</v>
      </c>
      <c r="F12" t="s">
        <v>1041</v>
      </c>
    </row>
    <row r="13" spans="1:6">
      <c r="E13" s="14" t="s">
        <v>523</v>
      </c>
      <c r="F13" t="s">
        <v>1017</v>
      </c>
    </row>
    <row r="14" spans="1:6">
      <c r="A14" s="12"/>
      <c r="B14" s="12"/>
      <c r="E14" s="14" t="s">
        <v>1020</v>
      </c>
      <c r="F14" t="s">
        <v>505</v>
      </c>
    </row>
    <row r="15" spans="1:6">
      <c r="A15" s="12"/>
      <c r="B15" s="12"/>
      <c r="E15" s="14" t="s">
        <v>1026</v>
      </c>
      <c r="F15" t="s">
        <v>507</v>
      </c>
    </row>
    <row r="16" spans="1:6">
      <c r="E16" s="14" t="s">
        <v>1027</v>
      </c>
      <c r="F16" t="s">
        <v>509</v>
      </c>
    </row>
    <row r="17" spans="1:6">
      <c r="E17" s="14" t="s">
        <v>1028</v>
      </c>
      <c r="F17" t="s">
        <v>511</v>
      </c>
    </row>
    <row r="18" spans="1:6">
      <c r="E18" s="14" t="s">
        <v>1029</v>
      </c>
      <c r="F18" t="s">
        <v>513</v>
      </c>
    </row>
    <row r="19" spans="1:6" ht="15">
      <c r="A19" s="22" t="s">
        <v>1204</v>
      </c>
      <c r="E19" s="14" t="s">
        <v>1030</v>
      </c>
      <c r="F19" t="s">
        <v>515</v>
      </c>
    </row>
    <row r="20" spans="1:6">
      <c r="E20" s="14" t="s">
        <v>1021</v>
      </c>
      <c r="F20" t="s">
        <v>517</v>
      </c>
    </row>
    <row r="21" spans="1:6">
      <c r="E21" s="14" t="s">
        <v>1022</v>
      </c>
      <c r="F21" t="s">
        <v>518</v>
      </c>
    </row>
    <row r="22" spans="1:6">
      <c r="E22" s="14" t="s">
        <v>1023</v>
      </c>
      <c r="F22" t="s">
        <v>520</v>
      </c>
    </row>
    <row r="23" spans="1:6">
      <c r="E23" s="14" t="s">
        <v>1024</v>
      </c>
      <c r="F23" t="s">
        <v>522</v>
      </c>
    </row>
    <row r="24" spans="1:6">
      <c r="E24" s="14" t="s">
        <v>1025</v>
      </c>
      <c r="F24" t="s">
        <v>1017</v>
      </c>
    </row>
    <row r="25" spans="1:6">
      <c r="E25" s="14" t="s">
        <v>1068</v>
      </c>
      <c r="F25" t="s">
        <v>1071</v>
      </c>
    </row>
    <row r="26" spans="1:6">
      <c r="E26" s="14" t="s">
        <v>1069</v>
      </c>
      <c r="F26" t="s">
        <v>1072</v>
      </c>
    </row>
    <row r="27" spans="1:6">
      <c r="E27" s="14" t="s">
        <v>1070</v>
      </c>
      <c r="F27" t="s">
        <v>1073</v>
      </c>
    </row>
    <row r="28" spans="1:6">
      <c r="E28" s="14" t="s">
        <v>1074</v>
      </c>
      <c r="F28" t="s">
        <v>1075</v>
      </c>
    </row>
    <row r="29" spans="1:6">
      <c r="E29" s="14" t="s">
        <v>1102</v>
      </c>
      <c r="F29" t="s">
        <v>1071</v>
      </c>
    </row>
    <row r="30" spans="1:6">
      <c r="E30" s="14" t="s">
        <v>1101</v>
      </c>
      <c r="F30" t="s">
        <v>1072</v>
      </c>
    </row>
    <row r="31" spans="1:6">
      <c r="E31" s="14" t="s">
        <v>1100</v>
      </c>
      <c r="F31" t="s">
        <v>1073</v>
      </c>
    </row>
    <row r="32" spans="1:6">
      <c r="E32" s="14" t="s">
        <v>1099</v>
      </c>
      <c r="F32" t="s">
        <v>1075</v>
      </c>
    </row>
    <row r="33" spans="5:6">
      <c r="E33" s="14" t="s">
        <v>1085</v>
      </c>
      <c r="F33" t="s">
        <v>966</v>
      </c>
    </row>
    <row r="34" spans="5:6">
      <c r="E34" s="14" t="s">
        <v>1086</v>
      </c>
      <c r="F34" t="s">
        <v>967</v>
      </c>
    </row>
    <row r="35" spans="5:6">
      <c r="E35" s="14" t="s">
        <v>1087</v>
      </c>
      <c r="F35" t="s">
        <v>1084</v>
      </c>
    </row>
    <row r="36" spans="5:6">
      <c r="E36" s="14" t="s">
        <v>1088</v>
      </c>
      <c r="F36" t="s">
        <v>968</v>
      </c>
    </row>
    <row r="37" spans="5:6">
      <c r="E37" s="14" t="s">
        <v>1091</v>
      </c>
      <c r="F37" t="s">
        <v>969</v>
      </c>
    </row>
    <row r="38" spans="5:6">
      <c r="E38" s="14" t="s">
        <v>1089</v>
      </c>
      <c r="F38" t="s">
        <v>970</v>
      </c>
    </row>
    <row r="39" spans="5:6">
      <c r="E39" s="14" t="s">
        <v>1090</v>
      </c>
      <c r="F39" t="s">
        <v>971</v>
      </c>
    </row>
    <row r="40" spans="5:6">
      <c r="E40" s="14" t="s">
        <v>1092</v>
      </c>
      <c r="F40" t="s">
        <v>966</v>
      </c>
    </row>
    <row r="41" spans="5:6">
      <c r="E41" s="14" t="s">
        <v>1093</v>
      </c>
      <c r="F41" t="s">
        <v>967</v>
      </c>
    </row>
    <row r="42" spans="5:6">
      <c r="E42" s="14" t="s">
        <v>1094</v>
      </c>
      <c r="F42" t="s">
        <v>1084</v>
      </c>
    </row>
    <row r="43" spans="5:6">
      <c r="E43" s="14" t="s">
        <v>1095</v>
      </c>
      <c r="F43" t="s">
        <v>968</v>
      </c>
    </row>
    <row r="44" spans="5:6">
      <c r="E44" s="14" t="s">
        <v>1096</v>
      </c>
      <c r="F44" t="s">
        <v>969</v>
      </c>
    </row>
    <row r="45" spans="5:6">
      <c r="E45" s="14" t="s">
        <v>1097</v>
      </c>
      <c r="F45" t="s">
        <v>970</v>
      </c>
    </row>
    <row r="46" spans="5:6">
      <c r="E46" s="14" t="s">
        <v>1098</v>
      </c>
      <c r="F46" t="s">
        <v>971</v>
      </c>
    </row>
    <row r="47" spans="5:6">
      <c r="E47" s="14" t="s">
        <v>1103</v>
      </c>
      <c r="F47" t="s">
        <v>1083</v>
      </c>
    </row>
    <row r="48" spans="5:6">
      <c r="E48" s="14" t="s">
        <v>1108</v>
      </c>
      <c r="F48" t="s">
        <v>1083</v>
      </c>
    </row>
    <row r="49" spans="5:6">
      <c r="E49" s="14" t="s">
        <v>1113</v>
      </c>
      <c r="F49" t="s">
        <v>1083</v>
      </c>
    </row>
    <row r="50" spans="5:6">
      <c r="E50" s="14" t="s">
        <v>1118</v>
      </c>
      <c r="F50" t="s">
        <v>1083</v>
      </c>
    </row>
    <row r="51" spans="5:6">
      <c r="E51" s="14" t="s">
        <v>1123</v>
      </c>
      <c r="F51" t="s">
        <v>1083</v>
      </c>
    </row>
    <row r="52" spans="5:6">
      <c r="E52" s="14" t="s">
        <v>1128</v>
      </c>
      <c r="F52" t="s">
        <v>1083</v>
      </c>
    </row>
    <row r="53" spans="5:6">
      <c r="E53" s="14" t="s">
        <v>1133</v>
      </c>
      <c r="F53" t="s">
        <v>1083</v>
      </c>
    </row>
    <row r="54" spans="5:6">
      <c r="E54" s="14" t="s">
        <v>1138</v>
      </c>
      <c r="F54" t="s">
        <v>1083</v>
      </c>
    </row>
    <row r="55" spans="5:6">
      <c r="E55" s="14" t="s">
        <v>1143</v>
      </c>
      <c r="F55" t="s">
        <v>1083</v>
      </c>
    </row>
    <row r="56" spans="5:6">
      <c r="E56" s="14" t="s">
        <v>1148</v>
      </c>
      <c r="F56" t="s">
        <v>1083</v>
      </c>
    </row>
    <row r="57" spans="5:6">
      <c r="E57" s="14" t="s">
        <v>1153</v>
      </c>
      <c r="F57" t="s">
        <v>1083</v>
      </c>
    </row>
    <row r="58" spans="5:6">
      <c r="E58" s="14" t="s">
        <v>1158</v>
      </c>
      <c r="F58" t="s">
        <v>1083</v>
      </c>
    </row>
    <row r="59" spans="5:6">
      <c r="E59" s="14" t="s">
        <v>1163</v>
      </c>
      <c r="F59" t="s">
        <v>1083</v>
      </c>
    </row>
    <row r="60" spans="5:6">
      <c r="E60" s="14" t="s">
        <v>1168</v>
      </c>
      <c r="F60" t="s">
        <v>1083</v>
      </c>
    </row>
    <row r="61" spans="5:6">
      <c r="E61" s="14" t="s">
        <v>1173</v>
      </c>
      <c r="F61" t="s">
        <v>1083</v>
      </c>
    </row>
    <row r="62" spans="5:6">
      <c r="E62" s="14" t="s">
        <v>1178</v>
      </c>
      <c r="F62" t="s">
        <v>1083</v>
      </c>
    </row>
    <row r="63" spans="5:6">
      <c r="E63" s="14" t="s">
        <v>1183</v>
      </c>
      <c r="F63" t="s">
        <v>1083</v>
      </c>
    </row>
    <row r="64" spans="5:6">
      <c r="E64" s="14" t="s">
        <v>1188</v>
      </c>
      <c r="F64" t="s">
        <v>1083</v>
      </c>
    </row>
    <row r="65" spans="5:6">
      <c r="E65" s="14" t="s">
        <v>1193</v>
      </c>
      <c r="F65" t="s">
        <v>1083</v>
      </c>
    </row>
    <row r="66" spans="5:6">
      <c r="E66" s="14" t="s">
        <v>1198</v>
      </c>
      <c r="F66" t="s">
        <v>1083</v>
      </c>
    </row>
    <row r="67" spans="5:6">
      <c r="E67" s="14" t="s">
        <v>1104</v>
      </c>
      <c r="F67" t="s">
        <v>1083</v>
      </c>
    </row>
    <row r="68" spans="5:6">
      <c r="E68" s="14" t="s">
        <v>1109</v>
      </c>
      <c r="F68" t="s">
        <v>1083</v>
      </c>
    </row>
    <row r="69" spans="5:6">
      <c r="E69" s="14" t="s">
        <v>1114</v>
      </c>
      <c r="F69" t="s">
        <v>1083</v>
      </c>
    </row>
    <row r="70" spans="5:6">
      <c r="E70" s="14" t="s">
        <v>1119</v>
      </c>
      <c r="F70" t="s">
        <v>1083</v>
      </c>
    </row>
    <row r="71" spans="5:6">
      <c r="E71" s="14" t="s">
        <v>1124</v>
      </c>
      <c r="F71" t="s">
        <v>1083</v>
      </c>
    </row>
    <row r="72" spans="5:6">
      <c r="E72" s="14" t="s">
        <v>1129</v>
      </c>
      <c r="F72" t="s">
        <v>1083</v>
      </c>
    </row>
    <row r="73" spans="5:6">
      <c r="E73" s="14" t="s">
        <v>1134</v>
      </c>
      <c r="F73" t="s">
        <v>1083</v>
      </c>
    </row>
    <row r="74" spans="5:6">
      <c r="E74" s="14" t="s">
        <v>1139</v>
      </c>
      <c r="F74" t="s">
        <v>1083</v>
      </c>
    </row>
    <row r="75" spans="5:6">
      <c r="E75" s="14" t="s">
        <v>1144</v>
      </c>
      <c r="F75" t="s">
        <v>1083</v>
      </c>
    </row>
    <row r="76" spans="5:6">
      <c r="E76" s="14" t="s">
        <v>1149</v>
      </c>
      <c r="F76" t="s">
        <v>1083</v>
      </c>
    </row>
    <row r="77" spans="5:6">
      <c r="E77" s="14" t="s">
        <v>1154</v>
      </c>
      <c r="F77" t="s">
        <v>1083</v>
      </c>
    </row>
    <row r="78" spans="5:6">
      <c r="E78" s="14" t="s">
        <v>1159</v>
      </c>
      <c r="F78" t="s">
        <v>1083</v>
      </c>
    </row>
    <row r="79" spans="5:6">
      <c r="E79" s="14" t="s">
        <v>1164</v>
      </c>
      <c r="F79" t="s">
        <v>1083</v>
      </c>
    </row>
    <row r="80" spans="5:6">
      <c r="E80" s="14" t="s">
        <v>1169</v>
      </c>
      <c r="F80" t="s">
        <v>1083</v>
      </c>
    </row>
    <row r="81" spans="5:6">
      <c r="E81" s="14" t="s">
        <v>1174</v>
      </c>
      <c r="F81" t="s">
        <v>1083</v>
      </c>
    </row>
    <row r="82" spans="5:6">
      <c r="E82" s="14" t="s">
        <v>1179</v>
      </c>
      <c r="F82" t="s">
        <v>1083</v>
      </c>
    </row>
    <row r="83" spans="5:6">
      <c r="E83" s="14" t="s">
        <v>1184</v>
      </c>
      <c r="F83" t="s">
        <v>1083</v>
      </c>
    </row>
    <row r="84" spans="5:6">
      <c r="E84" s="14" t="s">
        <v>1189</v>
      </c>
      <c r="F84" t="s">
        <v>1083</v>
      </c>
    </row>
    <row r="85" spans="5:6">
      <c r="E85" s="14" t="s">
        <v>1194</v>
      </c>
      <c r="F85" t="s">
        <v>1083</v>
      </c>
    </row>
    <row r="86" spans="5:6">
      <c r="E86" s="14" t="s">
        <v>1199</v>
      </c>
      <c r="F86" t="s">
        <v>1083</v>
      </c>
    </row>
    <row r="87" spans="5:6">
      <c r="E87" s="14" t="s">
        <v>1105</v>
      </c>
      <c r="F87" t="s">
        <v>1083</v>
      </c>
    </row>
    <row r="88" spans="5:6">
      <c r="E88" s="14" t="s">
        <v>1110</v>
      </c>
      <c r="F88" t="s">
        <v>1083</v>
      </c>
    </row>
    <row r="89" spans="5:6">
      <c r="E89" s="14" t="s">
        <v>1115</v>
      </c>
      <c r="F89" t="s">
        <v>1083</v>
      </c>
    </row>
    <row r="90" spans="5:6">
      <c r="E90" s="14" t="s">
        <v>1120</v>
      </c>
      <c r="F90" t="s">
        <v>1083</v>
      </c>
    </row>
    <row r="91" spans="5:6">
      <c r="E91" s="14" t="s">
        <v>1125</v>
      </c>
      <c r="F91" t="s">
        <v>1083</v>
      </c>
    </row>
    <row r="92" spans="5:6">
      <c r="E92" s="14" t="s">
        <v>1130</v>
      </c>
      <c r="F92" t="s">
        <v>1083</v>
      </c>
    </row>
    <row r="93" spans="5:6">
      <c r="E93" s="14" t="s">
        <v>1135</v>
      </c>
      <c r="F93" t="s">
        <v>1083</v>
      </c>
    </row>
    <row r="94" spans="5:6">
      <c r="E94" s="14" t="s">
        <v>1140</v>
      </c>
      <c r="F94" t="s">
        <v>1083</v>
      </c>
    </row>
    <row r="95" spans="5:6">
      <c r="E95" s="14" t="s">
        <v>1145</v>
      </c>
      <c r="F95" t="s">
        <v>1083</v>
      </c>
    </row>
    <row r="96" spans="5:6">
      <c r="E96" s="14" t="s">
        <v>1150</v>
      </c>
      <c r="F96" t="s">
        <v>1083</v>
      </c>
    </row>
    <row r="97" spans="5:6">
      <c r="E97" s="14" t="s">
        <v>1155</v>
      </c>
      <c r="F97" t="s">
        <v>1083</v>
      </c>
    </row>
    <row r="98" spans="5:6">
      <c r="E98" s="14" t="s">
        <v>1160</v>
      </c>
      <c r="F98" t="s">
        <v>1083</v>
      </c>
    </row>
    <row r="99" spans="5:6">
      <c r="E99" s="14" t="s">
        <v>1165</v>
      </c>
      <c r="F99" t="s">
        <v>1083</v>
      </c>
    </row>
    <row r="100" spans="5:6">
      <c r="E100" s="14" t="s">
        <v>1170</v>
      </c>
      <c r="F100" t="s">
        <v>1083</v>
      </c>
    </row>
    <row r="101" spans="5:6">
      <c r="E101" s="14" t="s">
        <v>1175</v>
      </c>
      <c r="F101" t="s">
        <v>1083</v>
      </c>
    </row>
    <row r="102" spans="5:6">
      <c r="E102" s="14" t="s">
        <v>1180</v>
      </c>
      <c r="F102" t="s">
        <v>1083</v>
      </c>
    </row>
    <row r="103" spans="5:6">
      <c r="E103" s="14" t="s">
        <v>1185</v>
      </c>
      <c r="F103" t="s">
        <v>1083</v>
      </c>
    </row>
    <row r="104" spans="5:6">
      <c r="E104" s="14" t="s">
        <v>1190</v>
      </c>
      <c r="F104" t="s">
        <v>1083</v>
      </c>
    </row>
    <row r="105" spans="5:6">
      <c r="E105" s="14" t="s">
        <v>1195</v>
      </c>
      <c r="F105" t="s">
        <v>1083</v>
      </c>
    </row>
    <row r="106" spans="5:6">
      <c r="E106" s="14" t="s">
        <v>1200</v>
      </c>
      <c r="F106" t="s">
        <v>1083</v>
      </c>
    </row>
    <row r="107" spans="5:6">
      <c r="E107" s="14" t="s">
        <v>1106</v>
      </c>
      <c r="F107" t="s">
        <v>1083</v>
      </c>
    </row>
    <row r="108" spans="5:6">
      <c r="E108" s="14" t="s">
        <v>1111</v>
      </c>
      <c r="F108" t="s">
        <v>1083</v>
      </c>
    </row>
    <row r="109" spans="5:6">
      <c r="E109" s="14" t="s">
        <v>1116</v>
      </c>
      <c r="F109" t="s">
        <v>1083</v>
      </c>
    </row>
    <row r="110" spans="5:6">
      <c r="E110" s="14" t="s">
        <v>1121</v>
      </c>
      <c r="F110" t="s">
        <v>1083</v>
      </c>
    </row>
    <row r="111" spans="5:6">
      <c r="E111" s="14" t="s">
        <v>1126</v>
      </c>
      <c r="F111" t="s">
        <v>1083</v>
      </c>
    </row>
    <row r="112" spans="5:6">
      <c r="E112" s="14" t="s">
        <v>1131</v>
      </c>
      <c r="F112" t="s">
        <v>1083</v>
      </c>
    </row>
    <row r="113" spans="5:6">
      <c r="E113" s="14" t="s">
        <v>1136</v>
      </c>
      <c r="F113" t="s">
        <v>1083</v>
      </c>
    </row>
    <row r="114" spans="5:6">
      <c r="E114" s="14" t="s">
        <v>1141</v>
      </c>
      <c r="F114" t="s">
        <v>1083</v>
      </c>
    </row>
    <row r="115" spans="5:6">
      <c r="E115" s="14" t="s">
        <v>1146</v>
      </c>
      <c r="F115" t="s">
        <v>1083</v>
      </c>
    </row>
    <row r="116" spans="5:6">
      <c r="E116" s="14" t="s">
        <v>1151</v>
      </c>
      <c r="F116" t="s">
        <v>1083</v>
      </c>
    </row>
    <row r="117" spans="5:6">
      <c r="E117" s="14" t="s">
        <v>1156</v>
      </c>
      <c r="F117" t="s">
        <v>1083</v>
      </c>
    </row>
    <row r="118" spans="5:6">
      <c r="E118" s="14" t="s">
        <v>1161</v>
      </c>
      <c r="F118" t="s">
        <v>1083</v>
      </c>
    </row>
    <row r="119" spans="5:6">
      <c r="E119" s="14" t="s">
        <v>1166</v>
      </c>
      <c r="F119" t="s">
        <v>1083</v>
      </c>
    </row>
    <row r="120" spans="5:6">
      <c r="E120" s="14" t="s">
        <v>1171</v>
      </c>
      <c r="F120" t="s">
        <v>1083</v>
      </c>
    </row>
    <row r="121" spans="5:6">
      <c r="E121" s="14" t="s">
        <v>1176</v>
      </c>
      <c r="F121" t="s">
        <v>1083</v>
      </c>
    </row>
    <row r="122" spans="5:6">
      <c r="E122" s="14" t="s">
        <v>1181</v>
      </c>
      <c r="F122" t="s">
        <v>1083</v>
      </c>
    </row>
    <row r="123" spans="5:6">
      <c r="E123" s="14" t="s">
        <v>1186</v>
      </c>
      <c r="F123" t="s">
        <v>1083</v>
      </c>
    </row>
    <row r="124" spans="5:6">
      <c r="E124" s="14" t="s">
        <v>1191</v>
      </c>
      <c r="F124" t="s">
        <v>1083</v>
      </c>
    </row>
    <row r="125" spans="5:6">
      <c r="E125" s="14" t="s">
        <v>1196</v>
      </c>
      <c r="F125" t="s">
        <v>1083</v>
      </c>
    </row>
    <row r="126" spans="5:6">
      <c r="E126" s="14" t="s">
        <v>1201</v>
      </c>
      <c r="F126" t="s">
        <v>1083</v>
      </c>
    </row>
    <row r="127" spans="5:6">
      <c r="E127" s="14" t="s">
        <v>1107</v>
      </c>
      <c r="F127" t="s">
        <v>1083</v>
      </c>
    </row>
    <row r="128" spans="5:6">
      <c r="E128" s="14" t="s">
        <v>1112</v>
      </c>
      <c r="F128" t="s">
        <v>1083</v>
      </c>
    </row>
    <row r="129" spans="5:6">
      <c r="E129" s="14" t="s">
        <v>1117</v>
      </c>
      <c r="F129" t="s">
        <v>1083</v>
      </c>
    </row>
    <row r="130" spans="5:6">
      <c r="E130" s="14" t="s">
        <v>1122</v>
      </c>
      <c r="F130" t="s">
        <v>1083</v>
      </c>
    </row>
    <row r="131" spans="5:6">
      <c r="E131" s="14" t="s">
        <v>1127</v>
      </c>
      <c r="F131" t="s">
        <v>1083</v>
      </c>
    </row>
    <row r="132" spans="5:6">
      <c r="E132" s="14" t="s">
        <v>1132</v>
      </c>
      <c r="F132" t="s">
        <v>1083</v>
      </c>
    </row>
    <row r="133" spans="5:6">
      <c r="E133" s="14" t="s">
        <v>1137</v>
      </c>
      <c r="F133" t="s">
        <v>1083</v>
      </c>
    </row>
    <row r="134" spans="5:6">
      <c r="E134" s="14" t="s">
        <v>1142</v>
      </c>
      <c r="F134" t="s">
        <v>1083</v>
      </c>
    </row>
    <row r="135" spans="5:6">
      <c r="E135" s="14" t="s">
        <v>1147</v>
      </c>
      <c r="F135" t="s">
        <v>1083</v>
      </c>
    </row>
    <row r="136" spans="5:6">
      <c r="E136" s="14" t="s">
        <v>1152</v>
      </c>
      <c r="F136" t="s">
        <v>1083</v>
      </c>
    </row>
    <row r="137" spans="5:6">
      <c r="E137" s="14" t="s">
        <v>1157</v>
      </c>
      <c r="F137" t="s">
        <v>1083</v>
      </c>
    </row>
    <row r="138" spans="5:6">
      <c r="E138" s="14" t="s">
        <v>1162</v>
      </c>
      <c r="F138" t="s">
        <v>1083</v>
      </c>
    </row>
    <row r="139" spans="5:6">
      <c r="E139" s="14" t="s">
        <v>1167</v>
      </c>
      <c r="F139" t="s">
        <v>1083</v>
      </c>
    </row>
    <row r="140" spans="5:6">
      <c r="E140" s="14" t="s">
        <v>1172</v>
      </c>
      <c r="F140" t="s">
        <v>1083</v>
      </c>
    </row>
    <row r="141" spans="5:6">
      <c r="E141" s="14" t="s">
        <v>1177</v>
      </c>
      <c r="F141" t="s">
        <v>1083</v>
      </c>
    </row>
    <row r="142" spans="5:6">
      <c r="E142" s="14" t="s">
        <v>1182</v>
      </c>
      <c r="F142" t="s">
        <v>1083</v>
      </c>
    </row>
    <row r="143" spans="5:6">
      <c r="E143" s="14" t="s">
        <v>1187</v>
      </c>
      <c r="F143" t="s">
        <v>1083</v>
      </c>
    </row>
    <row r="144" spans="5:6">
      <c r="E144" s="14" t="s">
        <v>1192</v>
      </c>
      <c r="F144" t="s">
        <v>1083</v>
      </c>
    </row>
    <row r="145" spans="5:6">
      <c r="E145" s="14" t="s">
        <v>1197</v>
      </c>
      <c r="F145" t="s">
        <v>1083</v>
      </c>
    </row>
    <row r="146" spans="5:6">
      <c r="E146" s="14" t="s">
        <v>1202</v>
      </c>
      <c r="F146" t="s">
        <v>1083</v>
      </c>
    </row>
    <row r="147" spans="5:6">
      <c r="E147" s="14" t="s">
        <v>1205</v>
      </c>
      <c r="F147" t="s">
        <v>1083</v>
      </c>
    </row>
    <row r="148" spans="5:6">
      <c r="E148" s="14" t="s">
        <v>491</v>
      </c>
      <c r="F148" t="s">
        <v>491</v>
      </c>
    </row>
  </sheetData>
  <conditionalFormatting sqref="E2">
    <cfRule type="containsText" dxfId="7" priority="3" operator="containsText" text="_cam_">
      <formula>NOT(ISERROR(SEARCH("_cam_",E2)))</formula>
    </cfRule>
  </conditionalFormatting>
  <conditionalFormatting sqref="E2:F2">
    <cfRule type="containsText" dxfId="6" priority="2" operator="containsText" text="_cam_">
      <formula>NOT(ISERROR(SEARCH("_cam_",E2)))</formula>
    </cfRule>
  </conditionalFormatting>
  <conditionalFormatting sqref="F2">
    <cfRule type="containsText" dxfId="5" priority="1" operator="containsText" text="_cam_">
      <formula>NOT(ISERROR(SEARCH("_cam_",F2)))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6AB39-DB87-419B-A2E5-3972991F2028}">
  <sheetPr codeName="Sheet3"/>
  <dimension ref="A1:J48"/>
  <sheetViews>
    <sheetView workbookViewId="0">
      <selection activeCell="E12" sqref="E12"/>
    </sheetView>
  </sheetViews>
  <sheetFormatPr defaultRowHeight="14.25"/>
  <cols>
    <col min="1" max="1" width="16.125" customWidth="1"/>
    <col min="2" max="2" width="28.25" customWidth="1"/>
    <col min="4" max="4" width="28.25" customWidth="1"/>
    <col min="5" max="5" width="18.75" customWidth="1"/>
    <col min="6" max="7" width="16.875" customWidth="1"/>
    <col min="8" max="8" width="27.375" customWidth="1"/>
    <col min="9" max="9" width="18.625" customWidth="1"/>
  </cols>
  <sheetData>
    <row r="1" spans="1:10" ht="15">
      <c r="A1" s="3" t="s">
        <v>424</v>
      </c>
      <c r="B1" s="9" t="s">
        <v>429</v>
      </c>
      <c r="C1" s="1" t="s">
        <v>425</v>
      </c>
      <c r="D1" s="2" t="s">
        <v>428</v>
      </c>
      <c r="E1" s="7" t="s">
        <v>424</v>
      </c>
      <c r="F1" s="7" t="s">
        <v>425</v>
      </c>
      <c r="G1" s="7" t="s">
        <v>425</v>
      </c>
      <c r="H1" s="1" t="s">
        <v>425</v>
      </c>
    </row>
    <row r="2" spans="1:10" ht="15">
      <c r="A2" s="3" t="s">
        <v>477</v>
      </c>
      <c r="B2" s="1" t="s">
        <v>430</v>
      </c>
      <c r="C2" t="s">
        <v>426</v>
      </c>
      <c r="D2" s="1" t="s">
        <v>339</v>
      </c>
      <c r="E2" s="5" t="s">
        <v>321</v>
      </c>
      <c r="F2" s="7" t="str">
        <f t="shared" ref="F2:F47" si="0">". "&amp;E2</f>
        <v>. Adult</v>
      </c>
      <c r="G2" s="6" t="str">
        <f t="shared" ref="G2:G47" si="1">E2&amp;"."</f>
        <v>Adult.</v>
      </c>
      <c r="H2" s="1" t="str">
        <f t="shared" ref="H2:H47" si="2">"{{ "&amp;C2&amp;"_"&amp;D2&amp;" }}"&amp;"."</f>
        <v>{{ tu_age_class_adult }}.</v>
      </c>
      <c r="I2" t="str">
        <f>PROPER(G2)</f>
        <v>Adult.</v>
      </c>
      <c r="J2" t="str">
        <f>"{{ tu_"&amp;D2&amp;" }}"&amp;"."</f>
        <v>{{ tu_age_class_adult }}.</v>
      </c>
    </row>
    <row r="3" spans="1:10" ht="15">
      <c r="A3" s="3" t="s">
        <v>477</v>
      </c>
      <c r="B3" s="1" t="s">
        <v>430</v>
      </c>
      <c r="C3" t="s">
        <v>426</v>
      </c>
      <c r="D3" s="1" t="s">
        <v>343</v>
      </c>
      <c r="E3" s="5" t="s">
        <v>322</v>
      </c>
      <c r="F3" s="7" t="str">
        <f t="shared" si="0"/>
        <v>. Juvenile</v>
      </c>
      <c r="G3" s="6" t="str">
        <f t="shared" si="1"/>
        <v>Juvenile.</v>
      </c>
      <c r="H3" s="1" t="str">
        <f t="shared" si="2"/>
        <v>{{ tu_age_class_juvenile }}.</v>
      </c>
      <c r="I3" t="str">
        <f t="shared" ref="I3:I21" si="3">PROPER(G3)</f>
        <v>Juvenile.</v>
      </c>
      <c r="J3" t="str">
        <f t="shared" ref="J3:J21" si="4">"{{ tu_"&amp;D3&amp;" }}"&amp;"."</f>
        <v>{{ tu_age_class_juvenile }}.</v>
      </c>
    </row>
    <row r="4" spans="1:10" ht="15">
      <c r="A4" s="3" t="s">
        <v>477</v>
      </c>
      <c r="B4" s="1" t="s">
        <v>430</v>
      </c>
      <c r="C4" t="s">
        <v>426</v>
      </c>
      <c r="D4" s="1" t="s">
        <v>349</v>
      </c>
      <c r="E4" s="5" t="s">
        <v>323</v>
      </c>
      <c r="F4" s="7" t="str">
        <f t="shared" si="0"/>
        <v>. Subadult</v>
      </c>
      <c r="G4" s="6" t="str">
        <f t="shared" si="1"/>
        <v>Subadult.</v>
      </c>
      <c r="H4" s="1" t="str">
        <f t="shared" si="2"/>
        <v>{{ tu_age_class_subadult }}.</v>
      </c>
      <c r="I4" t="str">
        <f t="shared" si="3"/>
        <v>Subadult.</v>
      </c>
      <c r="J4" t="str">
        <f t="shared" si="4"/>
        <v>{{ tu_age_class_subadult }}.</v>
      </c>
    </row>
    <row r="5" spans="1:10" ht="15">
      <c r="A5" s="3" t="s">
        <v>477</v>
      </c>
      <c r="B5" s="1" t="s">
        <v>420</v>
      </c>
      <c r="C5" t="s">
        <v>426</v>
      </c>
      <c r="D5" s="1" t="s">
        <v>340</v>
      </c>
      <c r="E5" s="5" t="s">
        <v>318</v>
      </c>
      <c r="F5" s="7" t="str">
        <f t="shared" si="0"/>
        <v>. Analyst</v>
      </c>
      <c r="G5" s="6" t="str">
        <f t="shared" si="1"/>
        <v>Analyst.</v>
      </c>
      <c r="H5" s="1" t="str">
        <f t="shared" si="2"/>
        <v>{{ tu_analyst }}.</v>
      </c>
      <c r="I5" t="str">
        <f t="shared" si="3"/>
        <v>Analyst.</v>
      </c>
      <c r="J5" t="str">
        <f t="shared" si="4"/>
        <v>{{ tu_analyst }}.</v>
      </c>
    </row>
    <row r="6" spans="1:10">
      <c r="A6" s="3" t="s">
        <v>477</v>
      </c>
      <c r="B6" s="1" t="s">
        <v>421</v>
      </c>
      <c r="C6" s="1" t="s">
        <v>427</v>
      </c>
      <c r="D6" s="1" t="s">
        <v>341</v>
      </c>
      <c r="E6" s="6" t="s">
        <v>297</v>
      </c>
      <c r="F6" s="7" t="str">
        <f t="shared" si="0"/>
        <v>. bait</v>
      </c>
      <c r="G6" s="6" t="str">
        <f t="shared" si="1"/>
        <v>bait.</v>
      </c>
      <c r="H6" s="1" t="str">
        <f t="shared" si="2"/>
        <v>{{ tl_baitlure_bait }}.</v>
      </c>
      <c r="I6" t="str">
        <f t="shared" si="3"/>
        <v>Bait.</v>
      </c>
      <c r="J6" t="str">
        <f t="shared" si="4"/>
        <v>{{ tu_baitlure_bait }}.</v>
      </c>
    </row>
    <row r="7" spans="1:10">
      <c r="A7" s="3" t="s">
        <v>477</v>
      </c>
      <c r="B7" s="1" t="s">
        <v>421</v>
      </c>
      <c r="C7" t="s">
        <v>426</v>
      </c>
      <c r="D7" s="1" t="s">
        <v>341</v>
      </c>
      <c r="E7" s="3" t="s">
        <v>309</v>
      </c>
      <c r="F7" s="7" t="str">
        <f t="shared" si="0"/>
        <v>. Bait</v>
      </c>
      <c r="G7" s="6" t="str">
        <f t="shared" si="1"/>
        <v>Bait.</v>
      </c>
      <c r="H7" s="1" t="str">
        <f t="shared" si="2"/>
        <v>{{ tu_baitlure_bait }}.</v>
      </c>
      <c r="I7" t="str">
        <f t="shared" si="3"/>
        <v>Bait.</v>
      </c>
      <c r="J7" t="str">
        <f t="shared" si="4"/>
        <v>{{ tu_baitlure_bait }}.</v>
      </c>
    </row>
    <row r="8" spans="1:10">
      <c r="A8" s="3" t="s">
        <v>477</v>
      </c>
      <c r="B8" s="1" t="s">
        <v>421</v>
      </c>
      <c r="C8" s="1" t="s">
        <v>427</v>
      </c>
      <c r="D8" s="1" t="s">
        <v>344</v>
      </c>
      <c r="E8" s="6" t="s">
        <v>300</v>
      </c>
      <c r="F8" s="7" t="str">
        <f t="shared" si="0"/>
        <v>. lure</v>
      </c>
      <c r="G8" s="6" t="str">
        <f t="shared" si="1"/>
        <v>lure.</v>
      </c>
      <c r="H8" s="1" t="str">
        <f t="shared" si="2"/>
        <v>{{ tl_baitlure_lure }}.</v>
      </c>
      <c r="I8" t="str">
        <f t="shared" si="3"/>
        <v>Lure.</v>
      </c>
      <c r="J8" t="str">
        <f t="shared" si="4"/>
        <v>{{ tu_baitlure_lure }}.</v>
      </c>
    </row>
    <row r="9" spans="1:10">
      <c r="A9" s="3" t="s">
        <v>477</v>
      </c>
      <c r="B9" s="1" t="s">
        <v>421</v>
      </c>
      <c r="C9" t="s">
        <v>426</v>
      </c>
      <c r="D9" s="1" t="s">
        <v>344</v>
      </c>
      <c r="E9" s="1" t="s">
        <v>310</v>
      </c>
      <c r="F9" s="7" t="str">
        <f t="shared" si="0"/>
        <v>. Lure</v>
      </c>
      <c r="G9" s="6" t="str">
        <f t="shared" si="1"/>
        <v>Lure.</v>
      </c>
      <c r="H9" s="1" t="str">
        <f t="shared" si="2"/>
        <v>{{ tu_baitlure_lure }}.</v>
      </c>
      <c r="I9" t="str">
        <f t="shared" si="3"/>
        <v>Lure.</v>
      </c>
      <c r="J9" t="str">
        <f t="shared" si="4"/>
        <v>{{ tu_baitlure_lure }}.</v>
      </c>
    </row>
    <row r="10" spans="1:10">
      <c r="A10" s="3" t="s">
        <v>477</v>
      </c>
      <c r="B10" s="1" t="s">
        <v>420</v>
      </c>
      <c r="C10" s="1" t="s">
        <v>427</v>
      </c>
      <c r="D10" s="1" t="s">
        <v>298</v>
      </c>
      <c r="E10" s="6" t="s">
        <v>298</v>
      </c>
      <c r="F10" s="7" t="str">
        <f t="shared" si="0"/>
        <v>. behaviour</v>
      </c>
      <c r="G10" s="6" t="str">
        <f t="shared" si="1"/>
        <v>behaviour.</v>
      </c>
      <c r="H10" s="1" t="str">
        <f t="shared" si="2"/>
        <v>{{ tl_behaviour }}.</v>
      </c>
      <c r="I10" t="str">
        <f t="shared" si="3"/>
        <v>Behaviour.</v>
      </c>
      <c r="J10" t="str">
        <f t="shared" si="4"/>
        <v>{{ tu_behaviour }}.</v>
      </c>
    </row>
    <row r="11" spans="1:10" ht="15">
      <c r="A11" s="3" t="s">
        <v>477</v>
      </c>
      <c r="B11" s="1" t="s">
        <v>420</v>
      </c>
      <c r="C11" t="s">
        <v>426</v>
      </c>
      <c r="D11" s="1" t="s">
        <v>298</v>
      </c>
      <c r="E11" s="4" t="s">
        <v>304</v>
      </c>
      <c r="F11" s="7" t="str">
        <f t="shared" si="0"/>
        <v>. Behaviour</v>
      </c>
      <c r="G11" s="6" t="str">
        <f t="shared" si="1"/>
        <v>Behaviour.</v>
      </c>
      <c r="H11" s="1" t="str">
        <f t="shared" si="2"/>
        <v>{{ tu_behaviour }}.</v>
      </c>
      <c r="I11" t="str">
        <f t="shared" si="3"/>
        <v>Behaviour.</v>
      </c>
      <c r="J11" t="str">
        <f t="shared" si="4"/>
        <v>{{ tu_behaviour }}.</v>
      </c>
    </row>
    <row r="12" spans="1:10">
      <c r="A12" s="3" t="s">
        <v>477</v>
      </c>
      <c r="B12" s="1" t="s">
        <v>421</v>
      </c>
      <c r="C12" s="1" t="s">
        <v>427</v>
      </c>
      <c r="D12" s="1" t="s">
        <v>283</v>
      </c>
      <c r="E12" s="6" t="s">
        <v>283</v>
      </c>
      <c r="F12" s="7" t="str">
        <f t="shared" si="0"/>
        <v>. crew</v>
      </c>
      <c r="G12" s="6" t="str">
        <f t="shared" si="1"/>
        <v>crew.</v>
      </c>
      <c r="H12" s="1" t="str">
        <f t="shared" si="2"/>
        <v>{{ tl_crew }}.</v>
      </c>
      <c r="I12" t="str">
        <f t="shared" si="3"/>
        <v>Crew.</v>
      </c>
      <c r="J12" t="str">
        <f t="shared" si="4"/>
        <v>{{ tu_crew }}.</v>
      </c>
    </row>
    <row r="13" spans="1:10">
      <c r="A13" s="3" t="s">
        <v>477</v>
      </c>
      <c r="B13" s="1" t="s">
        <v>421</v>
      </c>
      <c r="C13" t="s">
        <v>426</v>
      </c>
      <c r="D13" s="1" t="s">
        <v>283</v>
      </c>
      <c r="E13" s="1" t="s">
        <v>311</v>
      </c>
      <c r="F13" s="7" t="str">
        <f t="shared" si="0"/>
        <v>. Crew</v>
      </c>
      <c r="G13" s="6" t="str">
        <f t="shared" si="1"/>
        <v>Crew.</v>
      </c>
      <c r="H13" s="1" t="str">
        <f t="shared" si="2"/>
        <v>{{ tu_crew }}.</v>
      </c>
      <c r="I13" t="str">
        <f t="shared" si="3"/>
        <v>Crew.</v>
      </c>
      <c r="J13" t="str">
        <f t="shared" si="4"/>
        <v>{{ tu_crew }}.</v>
      </c>
    </row>
    <row r="14" spans="1:10">
      <c r="A14" s="3" t="s">
        <v>477</v>
      </c>
      <c r="B14" s="1" t="s">
        <v>421</v>
      </c>
      <c r="C14" s="1" t="s">
        <v>427</v>
      </c>
      <c r="D14" s="1" t="s">
        <v>284</v>
      </c>
      <c r="E14" s="7" t="s">
        <v>284</v>
      </c>
      <c r="F14" s="7" t="str">
        <f t="shared" si="0"/>
        <v>. density</v>
      </c>
      <c r="G14" s="6" t="str">
        <f t="shared" si="1"/>
        <v>density.</v>
      </c>
      <c r="H14" s="1" t="str">
        <f t="shared" si="2"/>
        <v>{{ tl_density }}.</v>
      </c>
      <c r="I14" t="str">
        <f t="shared" si="3"/>
        <v>Density.</v>
      </c>
      <c r="J14" t="str">
        <f t="shared" si="4"/>
        <v>{{ tu_density }}.</v>
      </c>
    </row>
    <row r="15" spans="1:10">
      <c r="A15" s="3" t="s">
        <v>477</v>
      </c>
      <c r="B15" s="1" t="s">
        <v>421</v>
      </c>
      <c r="C15" t="s">
        <v>426</v>
      </c>
      <c r="D15" s="1" t="s">
        <v>284</v>
      </c>
      <c r="E15" s="8" t="s">
        <v>305</v>
      </c>
      <c r="F15" s="7" t="str">
        <f t="shared" si="0"/>
        <v>. Density</v>
      </c>
      <c r="G15" s="6" t="str">
        <f t="shared" si="1"/>
        <v>Density.</v>
      </c>
      <c r="H15" s="1" t="str">
        <f t="shared" si="2"/>
        <v>{{ tu_density }}.</v>
      </c>
      <c r="I15" t="str">
        <f t="shared" si="3"/>
        <v>Density.</v>
      </c>
      <c r="J15" t="str">
        <f t="shared" si="4"/>
        <v>{{ tu_density }}.</v>
      </c>
    </row>
    <row r="16" spans="1:10">
      <c r="A16" s="3" t="s">
        <v>477</v>
      </c>
      <c r="B16" s="1" t="s">
        <v>421</v>
      </c>
      <c r="C16" s="1" t="s">
        <v>427</v>
      </c>
      <c r="D16" s="1" t="s">
        <v>285</v>
      </c>
      <c r="E16" s="6" t="s">
        <v>285</v>
      </c>
      <c r="F16" s="7" t="str">
        <f t="shared" si="0"/>
        <v>. deployment</v>
      </c>
      <c r="G16" s="6" t="str">
        <f t="shared" si="1"/>
        <v>deployment.</v>
      </c>
      <c r="H16" s="1" t="str">
        <f t="shared" si="2"/>
        <v>{{ tl_deployment }}.</v>
      </c>
      <c r="I16" t="str">
        <f t="shared" si="3"/>
        <v>Deployment.</v>
      </c>
      <c r="J16" t="str">
        <f t="shared" si="4"/>
        <v>{{ tu_deployment }}.</v>
      </c>
    </row>
    <row r="17" spans="1:10">
      <c r="A17" s="3" t="s">
        <v>477</v>
      </c>
      <c r="B17" s="1" t="s">
        <v>421</v>
      </c>
      <c r="C17" t="s">
        <v>426</v>
      </c>
      <c r="D17" s="1" t="s">
        <v>285</v>
      </c>
      <c r="E17" s="1" t="s">
        <v>313</v>
      </c>
      <c r="F17" s="7" t="str">
        <f t="shared" si="0"/>
        <v>. Deployment</v>
      </c>
      <c r="G17" s="6" t="str">
        <f t="shared" si="1"/>
        <v>Deployment.</v>
      </c>
      <c r="H17" s="1" t="str">
        <f t="shared" si="2"/>
        <v>{{ tu_deployment }}.</v>
      </c>
      <c r="I17" t="str">
        <f t="shared" si="3"/>
        <v>Deployment.</v>
      </c>
      <c r="J17" t="str">
        <f t="shared" si="4"/>
        <v>{{ tu_deployment }}.</v>
      </c>
    </row>
    <row r="18" spans="1:10">
      <c r="A18" s="3" t="s">
        <v>477</v>
      </c>
      <c r="B18" s="1" t="s">
        <v>421</v>
      </c>
      <c r="C18" s="1" t="s">
        <v>427</v>
      </c>
      <c r="D18" s="1" t="s">
        <v>350</v>
      </c>
      <c r="E18" s="6" t="s">
        <v>302</v>
      </c>
      <c r="F18" s="7" t="str">
        <f t="shared" si="0"/>
        <v>. viewshed</v>
      </c>
      <c r="G18" s="6" t="str">
        <f t="shared" si="1"/>
        <v>viewshed.</v>
      </c>
      <c r="H18" s="1" t="str">
        <f t="shared" si="2"/>
        <v>{{ tl_fov_viewshed }}.</v>
      </c>
      <c r="I18" t="str">
        <f t="shared" si="3"/>
        <v>Viewshed.</v>
      </c>
      <c r="J18" t="str">
        <f t="shared" si="4"/>
        <v>{{ tu_fov_viewshed }}.</v>
      </c>
    </row>
    <row r="19" spans="1:10">
      <c r="A19" s="3" t="s">
        <v>477</v>
      </c>
      <c r="B19" s="1" t="s">
        <v>421</v>
      </c>
      <c r="C19" t="s">
        <v>426</v>
      </c>
      <c r="D19" s="1" t="s">
        <v>350</v>
      </c>
      <c r="E19" s="3" t="s">
        <v>316</v>
      </c>
      <c r="F19" s="7" t="str">
        <f t="shared" si="0"/>
        <v>. Viewshed</v>
      </c>
      <c r="G19" s="6" t="str">
        <f t="shared" si="1"/>
        <v>Viewshed.</v>
      </c>
      <c r="H19" s="1" t="str">
        <f t="shared" si="2"/>
        <v>{{ tu_fov_viewshed }}.</v>
      </c>
      <c r="I19" t="str">
        <f t="shared" si="3"/>
        <v>Viewshed.</v>
      </c>
      <c r="J19" t="str">
        <f t="shared" si="4"/>
        <v>{{ tu_fov_viewshed }}.</v>
      </c>
    </row>
    <row r="20" spans="1:10">
      <c r="A20" s="3" t="s">
        <v>477</v>
      </c>
      <c r="B20" s="1" t="s">
        <v>421</v>
      </c>
      <c r="C20" s="1" t="s">
        <v>427</v>
      </c>
      <c r="D20" s="1" t="s">
        <v>286</v>
      </c>
      <c r="E20" s="6" t="s">
        <v>286</v>
      </c>
      <c r="F20" s="7" t="str">
        <f t="shared" si="0"/>
        <v>. image</v>
      </c>
      <c r="G20" s="6" t="str">
        <f t="shared" si="1"/>
        <v>image.</v>
      </c>
      <c r="H20" s="1" t="str">
        <f t="shared" si="2"/>
        <v>{{ tl_image }}.</v>
      </c>
      <c r="I20" t="str">
        <f t="shared" si="3"/>
        <v>Image.</v>
      </c>
      <c r="J20" t="str">
        <f t="shared" si="4"/>
        <v>{{ tu_image }}.</v>
      </c>
    </row>
    <row r="21" spans="1:10">
      <c r="A21" s="3" t="s">
        <v>477</v>
      </c>
      <c r="B21" s="1" t="s">
        <v>421</v>
      </c>
      <c r="C21" t="s">
        <v>426</v>
      </c>
      <c r="D21" s="1" t="s">
        <v>286</v>
      </c>
      <c r="E21" s="1" t="s">
        <v>317</v>
      </c>
      <c r="F21" s="7" t="str">
        <f t="shared" si="0"/>
        <v>. Image</v>
      </c>
      <c r="G21" s="6" t="str">
        <f t="shared" si="1"/>
        <v>Image.</v>
      </c>
      <c r="H21" s="1" t="str">
        <f t="shared" si="2"/>
        <v>{{ tu_image }}.</v>
      </c>
      <c r="I21" t="str">
        <f t="shared" si="3"/>
        <v>Image.</v>
      </c>
      <c r="J21" t="str">
        <f t="shared" si="4"/>
        <v>{{ tu_image }}.</v>
      </c>
    </row>
    <row r="22" spans="1:10">
      <c r="A22" s="3" t="s">
        <v>477</v>
      </c>
      <c r="B22" s="1" t="s">
        <v>421</v>
      </c>
      <c r="C22" s="1" t="s">
        <v>427</v>
      </c>
      <c r="D22" s="1" t="s">
        <v>287</v>
      </c>
      <c r="E22" s="6" t="s">
        <v>287</v>
      </c>
      <c r="F22" s="7" t="str">
        <f t="shared" si="0"/>
        <v>. metadata</v>
      </c>
      <c r="G22" s="6" t="str">
        <f t="shared" si="1"/>
        <v>metadata.</v>
      </c>
      <c r="H22" s="1" t="str">
        <f t="shared" si="2"/>
        <v>{{ tl_metadata }}.</v>
      </c>
    </row>
    <row r="23" spans="1:10">
      <c r="A23" s="3" t="s">
        <v>477</v>
      </c>
      <c r="B23" s="1" t="s">
        <v>421</v>
      </c>
      <c r="C23" t="s">
        <v>426</v>
      </c>
      <c r="D23" s="1" t="s">
        <v>287</v>
      </c>
      <c r="E23" s="1" t="s">
        <v>326</v>
      </c>
      <c r="F23" s="7" t="str">
        <f t="shared" si="0"/>
        <v>. Metadata</v>
      </c>
      <c r="G23" s="6" t="str">
        <f t="shared" si="1"/>
        <v>Metadata.</v>
      </c>
      <c r="H23" s="1" t="str">
        <f t="shared" si="2"/>
        <v>{{ tu_metadata }}.</v>
      </c>
    </row>
    <row r="24" spans="1:10">
      <c r="A24" s="3" t="s">
        <v>477</v>
      </c>
      <c r="B24" s="1" t="s">
        <v>421</v>
      </c>
      <c r="C24" s="1" t="s">
        <v>427</v>
      </c>
      <c r="D24" s="1" t="s">
        <v>342</v>
      </c>
      <c r="E24" s="6" t="s">
        <v>299</v>
      </c>
      <c r="F24" s="7" t="str">
        <f t="shared" si="0"/>
        <v>. inventory</v>
      </c>
      <c r="G24" s="6" t="str">
        <f t="shared" si="1"/>
        <v>inventory.</v>
      </c>
      <c r="H24" s="1" t="str">
        <f t="shared" si="2"/>
        <v>{{ tl_mod_inventory }}.</v>
      </c>
    </row>
    <row r="25" spans="1:10">
      <c r="A25" s="3" t="s">
        <v>477</v>
      </c>
      <c r="B25" s="1" t="s">
        <v>421</v>
      </c>
      <c r="C25" t="s">
        <v>426</v>
      </c>
      <c r="D25" s="1" t="s">
        <v>342</v>
      </c>
      <c r="E25" s="1" t="s">
        <v>307</v>
      </c>
      <c r="F25" s="7" t="str">
        <f t="shared" si="0"/>
        <v>. Inventory</v>
      </c>
      <c r="G25" s="6" t="str">
        <f t="shared" si="1"/>
        <v>Inventory.</v>
      </c>
      <c r="H25" s="1" t="str">
        <f t="shared" si="2"/>
        <v>{{ tu_mod_inventory }}.</v>
      </c>
    </row>
    <row r="26" spans="1:10">
      <c r="A26" s="3" t="s">
        <v>477</v>
      </c>
      <c r="B26" s="1" t="s">
        <v>421</v>
      </c>
      <c r="C26" s="1" t="s">
        <v>427</v>
      </c>
      <c r="D26" s="1" t="s">
        <v>346</v>
      </c>
      <c r="E26" s="6" t="s">
        <v>301</v>
      </c>
      <c r="F26" s="7" t="str">
        <f t="shared" si="0"/>
        <v>. overdispersion</v>
      </c>
      <c r="G26" s="6" t="str">
        <f t="shared" si="1"/>
        <v>overdispersion.</v>
      </c>
      <c r="H26" s="1" t="str">
        <f t="shared" si="2"/>
        <v>{{ tl_mod_overdispersion }}.</v>
      </c>
    </row>
    <row r="27" spans="1:10">
      <c r="A27" s="3" t="s">
        <v>477</v>
      </c>
      <c r="B27" s="1" t="s">
        <v>421</v>
      </c>
      <c r="C27" t="s">
        <v>426</v>
      </c>
      <c r="D27" s="1" t="s">
        <v>346</v>
      </c>
      <c r="E27" s="3" t="s">
        <v>308</v>
      </c>
      <c r="F27" s="7" t="str">
        <f t="shared" si="0"/>
        <v>. Overdispersion</v>
      </c>
      <c r="G27" s="6" t="str">
        <f t="shared" si="1"/>
        <v>Overdispersion.</v>
      </c>
      <c r="H27" s="1" t="str">
        <f t="shared" si="2"/>
        <v>{{ tu_mod_overdispersion }}.</v>
      </c>
    </row>
    <row r="28" spans="1:10">
      <c r="A28" s="3" t="s">
        <v>477</v>
      </c>
      <c r="B28" s="1" t="s">
        <v>421</v>
      </c>
      <c r="C28" s="1" t="s">
        <v>427</v>
      </c>
      <c r="D28" s="1" t="s">
        <v>345</v>
      </c>
      <c r="E28" s="6" t="s">
        <v>288</v>
      </c>
      <c r="F28" s="7" t="str">
        <f t="shared" si="0"/>
        <v>. occupancy</v>
      </c>
      <c r="G28" s="6" t="str">
        <f t="shared" si="1"/>
        <v>occupancy.</v>
      </c>
      <c r="H28" s="1" t="str">
        <f t="shared" si="2"/>
        <v>{{ tl_obj_occupancy }}.</v>
      </c>
    </row>
    <row r="29" spans="1:10">
      <c r="A29" s="3" t="s">
        <v>477</v>
      </c>
      <c r="B29" s="1" t="s">
        <v>421</v>
      </c>
      <c r="C29" t="s">
        <v>426</v>
      </c>
      <c r="D29" s="1" t="s">
        <v>345</v>
      </c>
      <c r="E29" s="1" t="s">
        <v>306</v>
      </c>
      <c r="F29" s="7" t="str">
        <f t="shared" si="0"/>
        <v>. Occupancy</v>
      </c>
      <c r="G29" s="6" t="str">
        <f t="shared" si="1"/>
        <v>Occupancy.</v>
      </c>
      <c r="H29" s="1" t="str">
        <f t="shared" si="2"/>
        <v>{{ tu_obj_occupancy }}.</v>
      </c>
    </row>
    <row r="30" spans="1:10">
      <c r="A30" s="3" t="s">
        <v>477</v>
      </c>
      <c r="B30" s="1" t="s">
        <v>421</v>
      </c>
      <c r="C30" s="1" t="s">
        <v>427</v>
      </c>
      <c r="D30" s="1" t="s">
        <v>289</v>
      </c>
      <c r="E30" s="6" t="s">
        <v>289</v>
      </c>
      <c r="F30" s="7" t="str">
        <f t="shared" si="0"/>
        <v>. project</v>
      </c>
      <c r="G30" s="6" t="str">
        <f t="shared" si="1"/>
        <v>project.</v>
      </c>
      <c r="H30" s="1" t="str">
        <f t="shared" si="2"/>
        <v>{{ tl_project }}.</v>
      </c>
    </row>
    <row r="31" spans="1:10">
      <c r="A31" s="3" t="s">
        <v>477</v>
      </c>
      <c r="B31" s="1" t="s">
        <v>421</v>
      </c>
      <c r="C31" t="s">
        <v>426</v>
      </c>
      <c r="D31" s="1" t="s">
        <v>289</v>
      </c>
      <c r="E31" s="1" t="s">
        <v>324</v>
      </c>
      <c r="F31" s="7" t="str">
        <f t="shared" si="0"/>
        <v>. Project</v>
      </c>
      <c r="G31" s="6" t="str">
        <f t="shared" si="1"/>
        <v>Project.</v>
      </c>
      <c r="H31" s="1" t="str">
        <f t="shared" si="2"/>
        <v>{{ tu_project }}.</v>
      </c>
    </row>
    <row r="32" spans="1:10">
      <c r="A32" s="3" t="s">
        <v>477</v>
      </c>
      <c r="B32" s="1" t="s">
        <v>421</v>
      </c>
      <c r="C32" s="1" t="s">
        <v>427</v>
      </c>
      <c r="D32" s="1" t="s">
        <v>290</v>
      </c>
      <c r="E32" s="6" t="s">
        <v>290</v>
      </c>
      <c r="F32" s="7" t="str">
        <f t="shared" si="0"/>
        <v>. pseudoreplication</v>
      </c>
      <c r="G32" s="6" t="str">
        <f t="shared" si="1"/>
        <v>pseudoreplication.</v>
      </c>
      <c r="H32" s="1" t="str">
        <f t="shared" si="2"/>
        <v>{{ tl_pseudoreplication }}.</v>
      </c>
    </row>
    <row r="33" spans="1:8">
      <c r="A33" s="3" t="s">
        <v>477</v>
      </c>
      <c r="B33" s="1" t="s">
        <v>421</v>
      </c>
      <c r="C33" t="s">
        <v>426</v>
      </c>
      <c r="D33" s="1" t="s">
        <v>290</v>
      </c>
      <c r="E33" s="1" t="s">
        <v>327</v>
      </c>
      <c r="F33" s="7" t="str">
        <f t="shared" si="0"/>
        <v>. Pseudoreplication</v>
      </c>
      <c r="G33" s="6" t="str">
        <f t="shared" si="1"/>
        <v>Pseudoreplication.</v>
      </c>
      <c r="H33" s="1" t="str">
        <f t="shared" si="2"/>
        <v>{{ tu_pseudoreplication }}.</v>
      </c>
    </row>
    <row r="34" spans="1:8" ht="15">
      <c r="A34" s="3" t="s">
        <v>477</v>
      </c>
      <c r="B34" s="1" t="s">
        <v>420</v>
      </c>
      <c r="C34" t="s">
        <v>426</v>
      </c>
      <c r="D34" s="1" t="s">
        <v>347</v>
      </c>
      <c r="E34" s="5" t="s">
        <v>315</v>
      </c>
      <c r="F34" s="7" t="str">
        <f t="shared" si="0"/>
        <v>. Security</v>
      </c>
      <c r="G34" s="6" t="str">
        <f t="shared" si="1"/>
        <v>Security.</v>
      </c>
      <c r="H34" s="1" t="str">
        <f t="shared" si="2"/>
        <v>{{ tu_security }}.</v>
      </c>
    </row>
    <row r="35" spans="1:8">
      <c r="A35" s="3" t="s">
        <v>477</v>
      </c>
      <c r="B35" s="1" t="s">
        <v>421</v>
      </c>
      <c r="C35" s="1" t="s">
        <v>427</v>
      </c>
      <c r="D35" s="1" t="s">
        <v>291</v>
      </c>
      <c r="E35" s="6" t="s">
        <v>291</v>
      </c>
      <c r="F35" s="7" t="str">
        <f t="shared" si="0"/>
        <v>. sequence</v>
      </c>
      <c r="G35" s="6" t="str">
        <f t="shared" si="1"/>
        <v>sequence.</v>
      </c>
      <c r="H35" s="1" t="str">
        <f t="shared" si="2"/>
        <v>{{ tl_sequence }}.</v>
      </c>
    </row>
    <row r="36" spans="1:8">
      <c r="A36" s="3" t="s">
        <v>477</v>
      </c>
      <c r="B36" s="1" t="s">
        <v>421</v>
      </c>
      <c r="C36" t="s">
        <v>426</v>
      </c>
      <c r="D36" s="1" t="s">
        <v>291</v>
      </c>
      <c r="E36" s="1" t="s">
        <v>328</v>
      </c>
      <c r="F36" s="7" t="str">
        <f t="shared" si="0"/>
        <v>. Sequence</v>
      </c>
      <c r="G36" s="6" t="str">
        <f t="shared" si="1"/>
        <v>Sequence.</v>
      </c>
      <c r="H36" s="1" t="str">
        <f t="shared" si="2"/>
        <v>{{ tu_sequence }}.</v>
      </c>
    </row>
    <row r="37" spans="1:8" ht="15">
      <c r="A37" s="3" t="s">
        <v>477</v>
      </c>
      <c r="B37" s="1" t="s">
        <v>420</v>
      </c>
      <c r="C37" t="s">
        <v>426</v>
      </c>
      <c r="D37" s="1" t="s">
        <v>348</v>
      </c>
      <c r="E37" s="5" t="s">
        <v>319</v>
      </c>
      <c r="F37" s="7" t="str">
        <f t="shared" si="0"/>
        <v>. Species</v>
      </c>
      <c r="G37" s="6" t="str">
        <f t="shared" si="1"/>
        <v>Species.</v>
      </c>
      <c r="H37" s="1" t="str">
        <f t="shared" si="2"/>
        <v>{{ tu_species }}.</v>
      </c>
    </row>
    <row r="38" spans="1:8">
      <c r="A38" s="3" t="s">
        <v>477</v>
      </c>
      <c r="B38" s="1" t="s">
        <v>421</v>
      </c>
      <c r="C38" s="1" t="s">
        <v>427</v>
      </c>
      <c r="D38" s="1" t="s">
        <v>292</v>
      </c>
      <c r="E38" s="6" t="s">
        <v>292</v>
      </c>
      <c r="F38" s="7" t="str">
        <f t="shared" si="0"/>
        <v>. strata</v>
      </c>
      <c r="G38" s="6" t="str">
        <f t="shared" si="1"/>
        <v>strata.</v>
      </c>
      <c r="H38" s="1" t="str">
        <f t="shared" si="2"/>
        <v>{{ tl_strata }}.</v>
      </c>
    </row>
    <row r="39" spans="1:8" ht="15">
      <c r="A39" s="3" t="s">
        <v>477</v>
      </c>
      <c r="B39" s="1" t="s">
        <v>421</v>
      </c>
      <c r="C39" t="s">
        <v>426</v>
      </c>
      <c r="D39" s="1" t="s">
        <v>292</v>
      </c>
      <c r="E39" s="5" t="s">
        <v>329</v>
      </c>
      <c r="F39" s="7" t="str">
        <f t="shared" si="0"/>
        <v>. Strata</v>
      </c>
      <c r="G39" s="6" t="str">
        <f t="shared" si="1"/>
        <v>Strata.</v>
      </c>
      <c r="H39" s="1" t="str">
        <f t="shared" si="2"/>
        <v>{{ tu_strata }}.</v>
      </c>
    </row>
    <row r="40" spans="1:8">
      <c r="A40" s="3" t="s">
        <v>477</v>
      </c>
      <c r="B40" s="1" t="s">
        <v>421</v>
      </c>
      <c r="C40" s="1" t="s">
        <v>427</v>
      </c>
      <c r="D40" s="1" t="s">
        <v>293</v>
      </c>
      <c r="E40" s="6" t="s">
        <v>293</v>
      </c>
      <c r="F40" s="7" t="str">
        <f t="shared" si="0"/>
        <v>. survey</v>
      </c>
      <c r="G40" s="6" t="str">
        <f t="shared" si="1"/>
        <v>survey.</v>
      </c>
      <c r="H40" s="1" t="str">
        <f t="shared" si="2"/>
        <v>{{ tl_survey }}.</v>
      </c>
    </row>
    <row r="41" spans="1:8">
      <c r="A41" s="3" t="s">
        <v>477</v>
      </c>
      <c r="B41" s="1" t="s">
        <v>421</v>
      </c>
      <c r="C41" t="s">
        <v>426</v>
      </c>
      <c r="D41" s="1" t="s">
        <v>293</v>
      </c>
      <c r="E41" s="1" t="s">
        <v>325</v>
      </c>
      <c r="F41" s="7" t="str">
        <f t="shared" si="0"/>
        <v>. Survey</v>
      </c>
      <c r="G41" s="6" t="str">
        <f t="shared" si="1"/>
        <v>Survey.</v>
      </c>
      <c r="H41" s="1" t="str">
        <f t="shared" si="2"/>
        <v>{{ tu_survey }}.</v>
      </c>
    </row>
    <row r="42" spans="1:8">
      <c r="A42" s="3" t="s">
        <v>477</v>
      </c>
      <c r="B42" s="1" t="s">
        <v>420</v>
      </c>
      <c r="C42" s="1" t="s">
        <v>427</v>
      </c>
      <c r="D42" s="1" t="s">
        <v>294</v>
      </c>
      <c r="E42" s="3" t="s">
        <v>294</v>
      </c>
      <c r="F42" s="7" t="str">
        <f t="shared" si="0"/>
        <v>. tag</v>
      </c>
      <c r="G42" s="6" t="str">
        <f t="shared" si="1"/>
        <v>tag.</v>
      </c>
      <c r="H42" s="1" t="str">
        <f t="shared" si="2"/>
        <v>{{ tl_tag }}.</v>
      </c>
    </row>
    <row r="43" spans="1:8" ht="15">
      <c r="A43" s="3" t="s">
        <v>477</v>
      </c>
      <c r="B43" s="1" t="s">
        <v>420</v>
      </c>
      <c r="C43" t="s">
        <v>426</v>
      </c>
      <c r="D43" s="1" t="s">
        <v>294</v>
      </c>
      <c r="E43" s="5" t="s">
        <v>320</v>
      </c>
      <c r="F43" s="7" t="str">
        <f t="shared" si="0"/>
        <v>. Tag</v>
      </c>
      <c r="G43" s="6" t="str">
        <f t="shared" si="1"/>
        <v>Tag.</v>
      </c>
      <c r="H43" s="1" t="str">
        <f t="shared" si="2"/>
        <v>{{ tu_tag }}.</v>
      </c>
    </row>
    <row r="44" spans="1:8">
      <c r="A44" s="3" t="s">
        <v>477</v>
      </c>
      <c r="B44" s="1" t="s">
        <v>421</v>
      </c>
      <c r="C44" s="1" t="s">
        <v>427</v>
      </c>
      <c r="D44" s="1" t="s">
        <v>295</v>
      </c>
      <c r="E44" s="6" t="s">
        <v>295</v>
      </c>
      <c r="F44" s="7" t="str">
        <f t="shared" si="0"/>
        <v>. visit</v>
      </c>
      <c r="G44" s="6" t="str">
        <f t="shared" si="1"/>
        <v>visit.</v>
      </c>
      <c r="H44" s="1" t="str">
        <f t="shared" si="2"/>
        <v>{{ tl_visit }}.</v>
      </c>
    </row>
    <row r="45" spans="1:8">
      <c r="A45" s="3" t="s">
        <v>477</v>
      </c>
      <c r="B45" s="1" t="s">
        <v>421</v>
      </c>
      <c r="C45" t="s">
        <v>426</v>
      </c>
      <c r="D45" s="1" t="s">
        <v>295</v>
      </c>
      <c r="E45" s="1" t="s">
        <v>312</v>
      </c>
      <c r="F45" s="7" t="str">
        <f t="shared" si="0"/>
        <v>. Visit</v>
      </c>
      <c r="G45" s="6" t="str">
        <f t="shared" si="1"/>
        <v>Visit.</v>
      </c>
      <c r="H45" s="1" t="str">
        <f t="shared" si="2"/>
        <v>{{ tu_visit }}.</v>
      </c>
    </row>
    <row r="46" spans="1:8">
      <c r="A46" s="3" t="s">
        <v>477</v>
      </c>
      <c r="B46" s="1" t="s">
        <v>421</v>
      </c>
      <c r="C46" s="1" t="s">
        <v>427</v>
      </c>
      <c r="D46" s="1" t="s">
        <v>296</v>
      </c>
      <c r="E46" s="6" t="s">
        <v>296</v>
      </c>
      <c r="F46" s="7" t="str">
        <f t="shared" si="0"/>
        <v>. walktest</v>
      </c>
      <c r="G46" s="6" t="str">
        <f t="shared" si="1"/>
        <v>walktest.</v>
      </c>
      <c r="H46" s="1" t="str">
        <f t="shared" si="2"/>
        <v>{{ tl_walktest }}.</v>
      </c>
    </row>
    <row r="47" spans="1:8">
      <c r="A47" s="3" t="s">
        <v>477</v>
      </c>
      <c r="B47" s="1" t="s">
        <v>421</v>
      </c>
      <c r="C47" t="s">
        <v>426</v>
      </c>
      <c r="D47" s="1" t="s">
        <v>296</v>
      </c>
      <c r="E47" s="1" t="s">
        <v>314</v>
      </c>
      <c r="F47" s="7" t="str">
        <f t="shared" si="0"/>
        <v>. Walktest</v>
      </c>
      <c r="G47" s="6" t="str">
        <f t="shared" si="1"/>
        <v>Walktest.</v>
      </c>
      <c r="H47" s="1" t="str">
        <f t="shared" si="2"/>
        <v>{{ tu_walktest }}.</v>
      </c>
    </row>
    <row r="48" spans="1:8">
      <c r="C48" s="1" t="s">
        <v>427</v>
      </c>
      <c r="D48" s="2" t="s">
        <v>490</v>
      </c>
      <c r="E48" s="10" t="s">
        <v>490</v>
      </c>
    </row>
  </sheetData>
  <autoFilter ref="A1:H47" xr:uid="{6566AB39-DB87-419B-A2E5-3972991F2028}">
    <sortState xmlns:xlrd2="http://schemas.microsoft.com/office/spreadsheetml/2017/richdata2" ref="A2:H47">
      <sortCondition ref="D1:D47"/>
    </sortState>
  </autoFilter>
  <conditionalFormatting sqref="A1:B47">
    <cfRule type="containsText" dxfId="4" priority="4" operator="containsText" text="\">
      <formula>NOT(ISERROR(SEARCH("\",A1)))</formula>
    </cfRule>
    <cfRule type="containsText" dxfId="3" priority="5" operator="containsText" text="/">
      <formula>NOT(ISERROR(SEARCH("/",A1)))</formula>
    </cfRule>
  </conditionalFormatting>
  <conditionalFormatting sqref="C1:D1 E1:G47 B2:D47">
    <cfRule type="containsText" dxfId="2" priority="6" operator="containsText" text=" ">
      <formula>NOT(ISERROR(SEARCH(" ",B1)))</formula>
    </cfRule>
  </conditionalFormatting>
  <conditionalFormatting sqref="H1:H1048576">
    <cfRule type="duplicateValues" dxfId="1" priority="2"/>
  </conditionalFormatting>
  <conditionalFormatting sqref="C48">
    <cfRule type="containsText" dxfId="0" priority="1" operator="containsText" text=" ">
      <formula>NOT(ISERROR(SEARCH(" ",C48)))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yaml</vt:lpstr>
      <vt:lpstr>breaks</vt:lpstr>
      <vt:lpstr>Sheet1 (2)</vt:lpstr>
      <vt:lpstr>add2</vt:lpstr>
      <vt:lpstr>single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Cassie Stevenson</dc:creator>
  <cp:lastModifiedBy>Cassie Stevenson</cp:lastModifiedBy>
  <dcterms:created xsi:type="dcterms:W3CDTF">2024-10-17T03:32:43Z</dcterms:created>
  <dcterms:modified xsi:type="dcterms:W3CDTF">2024-11-17T01:31:30Z</dcterms:modified>
</cp:coreProperties>
</file>